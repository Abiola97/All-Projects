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micro\Downloads\"/>
    </mc:Choice>
  </mc:AlternateContent>
  <xr:revisionPtr revIDLastSave="0" documentId="13_ncr:1_{6A38945D-852F-4D09-9CAC-F02EC8D74259}" xr6:coauthVersionLast="47" xr6:coauthVersionMax="47" xr10:uidLastSave="{00000000-0000-0000-0000-000000000000}"/>
  <bookViews>
    <workbookView xWindow="-120" yWindow="-120" windowWidth="20730" windowHeight="11040" firstSheet="1" activeTab="3" xr2:uid="{D673D618-604A-4F3E-8A66-59F4CB22AA0C}"/>
  </bookViews>
  <sheets>
    <sheet name="Data Tracking - Test file (1)" sheetId="2" r:id="rId1"/>
    <sheet name="List of Regions" sheetId="3" r:id="rId2"/>
    <sheet name="Pivot table" sheetId="5" r:id="rId3"/>
    <sheet name="Sheet1" sheetId="1" r:id="rId4"/>
  </sheets>
  <definedNames>
    <definedName name="_xlcn.WorksheetConnection_Book1Data_Tracking___Test_file__11" hidden="1">Data_Tracking___Test_file__1[]</definedName>
    <definedName name="ExternalData_1" localSheetId="0" hidden="1">'Data Tracking - Test file (1)'!$A$1:$P$144</definedName>
    <definedName name="ExternalData_2" localSheetId="1" hidden="1">'List of Regions'!$A$1:$B$107</definedName>
    <definedName name="Slicer_JobType">#N/A</definedName>
    <definedName name="Slicer_Region">#N/A</definedName>
    <definedName name="Timeline_EstDateTimeStart">#N/A</definedName>
  </definedNames>
  <calcPr calcId="191029"/>
  <pivotCaches>
    <pivotCache cacheId="207" r:id="rId5"/>
    <pivotCache cacheId="210" r:id="rId6"/>
    <pivotCache cacheId="213" r:id="rId7"/>
    <pivotCache cacheId="216" r:id="rId8"/>
    <pivotCache cacheId="222" r:id="rId9"/>
    <pivotCache cacheId="228" r:id="rId10"/>
    <pivotCache cacheId="231" r:id="rId11"/>
    <pivotCache cacheId="237" r:id="rId12"/>
    <pivotCache cacheId="244" r:id="rId13"/>
    <pivotCache cacheId="247" r:id="rId14"/>
    <pivotCache cacheId="283" r:id="rId15"/>
  </pivotCaches>
  <extLst>
    <ext xmlns:x14="http://schemas.microsoft.com/office/spreadsheetml/2009/9/main" uri="{876F7934-8845-4945-9796-88D515C7AA90}">
      <x14:pivotCaches>
        <pivotCache cacheId="248"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58"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Tracking___Test_file__1" name="Data_Tracking___Test_file__1" connection="WorksheetConnection_Book1!Data_Tracking___Test_file__1"/>
        </x15:modelTables>
        <x15:extLst>
          <ext xmlns:x16="http://schemas.microsoft.com/office/spreadsheetml/2014/11/main" uri="{9835A34E-60A6-4A7C-AAB8-D5F71C897F49}">
            <x16:modelTimeGroupings>
              <x16:modelTimeGrouping tableName="Data_Tracking___Test_file__1" columnName="EstDateTimeStart" columnId="EstDateTimeStart">
                <x16:calculatedTimeColumn columnName="EstDateTimeStart (Month Index)" columnId="EstDateTimeStart (Month Index)" contentType="monthsindex" isSelected="1"/>
                <x16:calculatedTimeColumn columnName="EstDateTimeStart (Month)" columnId="EstDateTimeStart (Month)" contentType="months" isSelected="1"/>
                <x16:calculatedTimeColumn columnName="EstDateTimeStart (Day Index)" columnId="EstDateTimeStart (Day Index)" contentType="daysindex" isSelected="1"/>
                <x16:calculatedTimeColumn columnName="EstDateTimeStart (Day)" columnId="EstDateTimeStart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B1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26EDD8-000F-4A6D-B2ED-59A24850DBCD}" keepAlive="1" name="Query - Data Tracking - Test file (1)" description="Connection to the 'Data Tracking - Test file (1)' query in the workbook." type="5" refreshedVersion="8" background="1" saveData="1">
    <dbPr connection="Provider=Microsoft.Mashup.OleDb.1;Data Source=$Workbook$;Location=&quot;Data Tracking - Test file (1)&quot;;Extended Properties=&quot;&quot;" command="SELECT * FROM [Data Tracking - Test file (1)]"/>
  </connection>
  <connection id="2" xr16:uid="{4ECD0442-BEB0-45E6-B312-1E6131589C82}" keepAlive="1" name="Query - List of Regions" description="Connection to the 'List of Regions' query in the workbook." type="5" refreshedVersion="8" background="1" saveData="1">
    <dbPr connection="Provider=Microsoft.Mashup.OleDb.1;Data Source=$Workbook$;Location=&quot;List of Regions&quot;;Extended Properties=&quot;&quot;" command="SELECT * FROM [List of Regions]"/>
  </connection>
  <connection id="3" xr16:uid="{FB9305B2-C760-4EFA-919D-612D5E1A26C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49DBB2A4-044E-496F-9510-77A8B128B931}" name="WorksheetConnection_Book1!Data_Tracking___Test_file__1" type="102" refreshedVersion="8" minRefreshableVersion="5">
    <extLst>
      <ext xmlns:x15="http://schemas.microsoft.com/office/spreadsheetml/2010/11/main" uri="{DE250136-89BD-433C-8126-D09CA5730AF9}">
        <x15:connection id="Data_Tracking___Test_file__1" autoDelete="1">
          <x15:rangePr sourceName="_xlcn.WorksheetConnection_Book1Data_Tracking___Test_file__11"/>
        </x15:connection>
      </ext>
    </extLst>
  </connection>
</connections>
</file>

<file path=xl/sharedStrings.xml><?xml version="1.0" encoding="utf-8"?>
<sst xmlns="http://schemas.openxmlformats.org/spreadsheetml/2006/main" count="1908" uniqueCount="635">
  <si>
    <t>EstDateTimeStart</t>
  </si>
  <si>
    <t>Month</t>
  </si>
  <si>
    <t>Day</t>
  </si>
  <si>
    <t>JobType</t>
  </si>
  <si>
    <t>JobStatus</t>
  </si>
  <si>
    <t>CreatedBy</t>
  </si>
  <si>
    <t>Technicians</t>
  </si>
  <si>
    <t>AccountName</t>
  </si>
  <si>
    <t>Address1</t>
  </si>
  <si>
    <t>City</t>
  </si>
  <si>
    <t>Zip</t>
  </si>
  <si>
    <t>OrderType</t>
  </si>
  <si>
    <t>OrderNumber</t>
  </si>
  <si>
    <t>DateCreated</t>
  </si>
  <si>
    <t>SubTotal</t>
  </si>
  <si>
    <t>July</t>
  </si>
  <si>
    <t>Wednesday</t>
  </si>
  <si>
    <t>Air Duct</t>
  </si>
  <si>
    <t>Complete</t>
  </si>
  <si>
    <t>Devin James</t>
  </si>
  <si>
    <t>Dave B, Ty Doe</t>
  </si>
  <si>
    <t>Durand, Chloé</t>
  </si>
  <si>
    <t>2132 Sunset Ct</t>
  </si>
  <si>
    <t>Cornwall</t>
  </si>
  <si>
    <t>R1N 0P1</t>
  </si>
  <si>
    <t>Invoice</t>
  </si>
  <si>
    <t>Chris Hamilton</t>
  </si>
  <si>
    <t>Chris Smith, Cameron Erroy</t>
  </si>
  <si>
    <t>Rivard, Emilie</t>
  </si>
  <si>
    <t>8672 Maple Ave</t>
  </si>
  <si>
    <t>Brockville</t>
  </si>
  <si>
    <t>X1B 5A0</t>
  </si>
  <si>
    <t>Lemoine, Clara</t>
  </si>
  <si>
    <t>6363 Pine St</t>
  </si>
  <si>
    <t>H3E 6C4</t>
  </si>
  <si>
    <t>Lou Mcdonalds</t>
  </si>
  <si>
    <t>Nguyen, Maxime</t>
  </si>
  <si>
    <t>2512 Spruce St</t>
  </si>
  <si>
    <t>V4C 3P6</t>
  </si>
  <si>
    <t>Dryer Vent</t>
  </si>
  <si>
    <t>Adam Smith</t>
  </si>
  <si>
    <t>Fontaine, Julie</t>
  </si>
  <si>
    <t>9808 Birch Ln</t>
  </si>
  <si>
    <t>Harrowsmith</t>
  </si>
  <si>
    <t>P2E 8E9</t>
  </si>
  <si>
    <t>John Doe</t>
  </si>
  <si>
    <t>Gauthier, Marc</t>
  </si>
  <si>
    <t>8577 Birch Ave</t>
  </si>
  <si>
    <t>K3P 5R9</t>
  </si>
  <si>
    <t>Joseph Air Duct</t>
  </si>
  <si>
    <t>Arsenault, Julien</t>
  </si>
  <si>
    <t>9574 Birch Dr</t>
  </si>
  <si>
    <t>Lake Opinicon</t>
  </si>
  <si>
    <t>V0B 9B0</t>
  </si>
  <si>
    <t>Rework</t>
  </si>
  <si>
    <t>Bélanger, Luc</t>
  </si>
  <si>
    <t>8089 Birch Rd</t>
  </si>
  <si>
    <t>X4R 5S2</t>
  </si>
  <si>
    <t>Tuesday</t>
  </si>
  <si>
    <t>Mark Anderson</t>
  </si>
  <si>
    <t>Tremblay, Pascal</t>
  </si>
  <si>
    <t>4006 Willow Ln</t>
  </si>
  <si>
    <t>L2Y 2S9</t>
  </si>
  <si>
    <t>Chris Smith, Brad Lisbon</t>
  </si>
  <si>
    <t>Roy, Hugo</t>
  </si>
  <si>
    <t>2954 Pine Blvd</t>
  </si>
  <si>
    <t>Camden East</t>
  </si>
  <si>
    <t>X7G 4P2</t>
  </si>
  <si>
    <t>Noël, Jonathan</t>
  </si>
  <si>
    <t>3727 Spruce Ave</t>
  </si>
  <si>
    <t>Bath</t>
  </si>
  <si>
    <t>J4R 2M2</t>
  </si>
  <si>
    <t>OTTAWA DUCT</t>
  </si>
  <si>
    <t>Terry Crews, Moris Coldplay</t>
  </si>
  <si>
    <t>Laroche, Samira</t>
  </si>
  <si>
    <t>7271 Spruce Blvd</t>
  </si>
  <si>
    <t>Ottawa</t>
  </si>
  <si>
    <t>M1N 3H3</t>
  </si>
  <si>
    <t>Cloutier, Jade</t>
  </si>
  <si>
    <t>9046 River Rd</t>
  </si>
  <si>
    <t>J5N 7M5</t>
  </si>
  <si>
    <t>Boutin, Aline</t>
  </si>
  <si>
    <t>5217 Oak Ct</t>
  </si>
  <si>
    <t>Kingston</t>
  </si>
  <si>
    <t>E8K 3X8</t>
  </si>
  <si>
    <t>Desrosiers, Mireille</t>
  </si>
  <si>
    <t>3306 Elm Rd</t>
  </si>
  <si>
    <t>P8V 3C8</t>
  </si>
  <si>
    <t>Ménard, Malik</t>
  </si>
  <si>
    <t>7065 Oak Blvd</t>
  </si>
  <si>
    <t>Sydenham</t>
  </si>
  <si>
    <t>Y0G 7A0</t>
  </si>
  <si>
    <t>Monday</t>
  </si>
  <si>
    <t>Beaulieu, Nathan</t>
  </si>
  <si>
    <t>8348 Willow Rd</t>
  </si>
  <si>
    <t>North Augusta</t>
  </si>
  <si>
    <t>N5B 0V5</t>
  </si>
  <si>
    <t>Lopez, Adrien</t>
  </si>
  <si>
    <t>3199 Cedar St</t>
  </si>
  <si>
    <t>L8R 4N8</t>
  </si>
  <si>
    <t>Portable Duct</t>
  </si>
  <si>
    <t>Caron, Amélie</t>
  </si>
  <si>
    <t>9105 Cedar Blvd</t>
  </si>
  <si>
    <t>T4E 9J4</t>
  </si>
  <si>
    <t>Bouchard, Étienne</t>
  </si>
  <si>
    <t>2999 Sunset St</t>
  </si>
  <si>
    <t>S2S 7C3</t>
  </si>
  <si>
    <t>Giroux, Sébastien</t>
  </si>
  <si>
    <t>3836 River Cres</t>
  </si>
  <si>
    <t>M6M 3G8</t>
  </si>
  <si>
    <t>Pelletier, Diane</t>
  </si>
  <si>
    <t>4775 Elm Rd</t>
  </si>
  <si>
    <t>Arden</t>
  </si>
  <si>
    <t>L5V 0J4</t>
  </si>
  <si>
    <t>Duct &amp; Dryer</t>
  </si>
  <si>
    <t>Éco Rénovation Experts</t>
  </si>
  <si>
    <t>5014 Spruce Blvd</t>
  </si>
  <si>
    <t>H2M 2A9</t>
  </si>
  <si>
    <t>Hakim.B</t>
  </si>
  <si>
    <t>Groupe LLM Inc.</t>
  </si>
  <si>
    <t>9961 Sunset Blvd</t>
  </si>
  <si>
    <t>Maberly</t>
  </si>
  <si>
    <t>J0J 4J9</t>
  </si>
  <si>
    <t>Commercial Work</t>
  </si>
  <si>
    <t>Tom Summer</t>
  </si>
  <si>
    <t>Pro-Réno Urgence</t>
  </si>
  <si>
    <t>9434 Maple Pl</t>
  </si>
  <si>
    <t>M1R 8H9</t>
  </si>
  <si>
    <t>Morin, Camille</t>
  </si>
  <si>
    <t>2639 River Blvd</t>
  </si>
  <si>
    <t>M6B 4J4</t>
  </si>
  <si>
    <t>Saturday</t>
  </si>
  <si>
    <t>Samantha Rose, Dave B, Ty Doe</t>
  </si>
  <si>
    <t>Gagnon, Sophie</t>
  </si>
  <si>
    <t>4113 River Rd</t>
  </si>
  <si>
    <t>E9K 4P4</t>
  </si>
  <si>
    <t>Friday</t>
  </si>
  <si>
    <t>Cameron Erroy, Dave B</t>
  </si>
  <si>
    <t>Rodriguez, Samuel</t>
  </si>
  <si>
    <t>871 Willow Ave</t>
  </si>
  <si>
    <t>M1M 0A0</t>
  </si>
  <si>
    <t>Parent, Mireille</t>
  </si>
  <si>
    <t>7080 Birch Way</t>
  </si>
  <si>
    <t>Ingleside</t>
  </si>
  <si>
    <t>E8N 7N4</t>
  </si>
  <si>
    <t>Terry Crews, Moris Coldplay, Brad Lisbon</t>
  </si>
  <si>
    <t>Bélisle, Roxane</t>
  </si>
  <si>
    <t>2634 Willow Way</t>
  </si>
  <si>
    <t>P9V 4S9</t>
  </si>
  <si>
    <t>Thibault, Yann</t>
  </si>
  <si>
    <t>9049 Elm Cres</t>
  </si>
  <si>
    <t>R9N 1N4</t>
  </si>
  <si>
    <t>Chris Smith, Ty Doe</t>
  </si>
  <si>
    <t>Simard, Mathieu</t>
  </si>
  <si>
    <t>279 Willow St</t>
  </si>
  <si>
    <t>Napanee</t>
  </si>
  <si>
    <t>V9B 5R3</t>
  </si>
  <si>
    <t>Couture, Karine</t>
  </si>
  <si>
    <t>7947 Spruce Dr</t>
  </si>
  <si>
    <t>S6M 0G5</t>
  </si>
  <si>
    <t>Fortin, Julien</t>
  </si>
  <si>
    <t>8884 River Ct</t>
  </si>
  <si>
    <t>L4T 3L4</t>
  </si>
  <si>
    <t>Lefebvre, Alain</t>
  </si>
  <si>
    <t>515 Cedar Dr</t>
  </si>
  <si>
    <t>Gananoque</t>
  </si>
  <si>
    <t>Y0T 2G9</t>
  </si>
  <si>
    <t>Vachon, Thierry</t>
  </si>
  <si>
    <t>6685 River Rd</t>
  </si>
  <si>
    <t>Williamstown</t>
  </si>
  <si>
    <t>B8N 2K2</t>
  </si>
  <si>
    <t>Thursday</t>
  </si>
  <si>
    <t>Mehta, Rohan</t>
  </si>
  <si>
    <t>1262 Pine Ct</t>
  </si>
  <si>
    <t>G7V 2B3</t>
  </si>
  <si>
    <t>Moretti, Giulia</t>
  </si>
  <si>
    <t>1717 River St</t>
  </si>
  <si>
    <t>Mallorytown</t>
  </si>
  <si>
    <t>H5P 8C9</t>
  </si>
  <si>
    <t>Larivière, Hugo</t>
  </si>
  <si>
    <t>2273 Cedar Ln</t>
  </si>
  <si>
    <t>B9T 3S1</t>
  </si>
  <si>
    <t>1CA</t>
  </si>
  <si>
    <t>Tran, Kevin</t>
  </si>
  <si>
    <t>652 River Cres</t>
  </si>
  <si>
    <t>Y0Y 6R3</t>
  </si>
  <si>
    <t>Sokolova, Elena</t>
  </si>
  <si>
    <t>3698 River Ct</t>
  </si>
  <si>
    <t>E9P 7J7</t>
  </si>
  <si>
    <t>Deschamps, Louise</t>
  </si>
  <si>
    <t>8795 Pine St</t>
  </si>
  <si>
    <t>B1E 0P8</t>
  </si>
  <si>
    <t>Résidence Belle-Vie</t>
  </si>
  <si>
    <t>2528 Birch Dr</t>
  </si>
  <si>
    <t>M7C 3N3</t>
  </si>
  <si>
    <t>Tremblay, Marc-André</t>
  </si>
  <si>
    <t>6018 Oak Pl</t>
  </si>
  <si>
    <t>V6X 2C8</t>
  </si>
  <si>
    <t>Fournier, Camille</t>
  </si>
  <si>
    <t>6667 Maple Blvd</t>
  </si>
  <si>
    <t>T1B 2K3</t>
  </si>
  <si>
    <t>Beauchamp, Philippe Marc</t>
  </si>
  <si>
    <t>9575 Sunset Dr</t>
  </si>
  <si>
    <t>Morrisburg</t>
  </si>
  <si>
    <t>T8G 4P2</t>
  </si>
  <si>
    <t>Allard, Isabelle</t>
  </si>
  <si>
    <t>5502 Elm Pl</t>
  </si>
  <si>
    <t>Mississippi Mills</t>
  </si>
  <si>
    <t>M2S 7A5</t>
  </si>
  <si>
    <t>Dave B, Brad Lisbon</t>
  </si>
  <si>
    <t>Rousseau, Victor</t>
  </si>
  <si>
    <t>9046 Willow Dr</t>
  </si>
  <si>
    <t>Battersea</t>
  </si>
  <si>
    <t>X5R 5B7</t>
  </si>
  <si>
    <t>Tremblay, Chantal</t>
  </si>
  <si>
    <t>568 Oak Ct</t>
  </si>
  <si>
    <t>M4T 8T4</t>
  </si>
  <si>
    <t>Laframboise, Mathieu</t>
  </si>
  <si>
    <t>3764 Willow Way</t>
  </si>
  <si>
    <t>J7E 5B2</t>
  </si>
  <si>
    <t>703 Cedar Ln</t>
  </si>
  <si>
    <t>Odessa</t>
  </si>
  <si>
    <t>B0G 5R0</t>
  </si>
  <si>
    <t>Girard, Stéphane</t>
  </si>
  <si>
    <t>9446 River Way</t>
  </si>
  <si>
    <t>L5L 2J1</t>
  </si>
  <si>
    <t>Martel, Olivier</t>
  </si>
  <si>
    <t>3309 Pine Ln</t>
  </si>
  <si>
    <t>C7X 3K6</t>
  </si>
  <si>
    <t>7377 Elm Ct</t>
  </si>
  <si>
    <t>Godfrey</t>
  </si>
  <si>
    <t>H6P 7Y5</t>
  </si>
  <si>
    <t>Leduc, Amélie</t>
  </si>
  <si>
    <t>4687 Cedar Cres</t>
  </si>
  <si>
    <t>R8C 4V1</t>
  </si>
  <si>
    <t>Khan, Aisha</t>
  </si>
  <si>
    <t>4212 Birch Dr</t>
  </si>
  <si>
    <t>C4C 9K5</t>
  </si>
  <si>
    <t>9978 River Ave</t>
  </si>
  <si>
    <t>Tichborne</t>
  </si>
  <si>
    <t>L9S 6H0</t>
  </si>
  <si>
    <t>Dubois, Étienne</t>
  </si>
  <si>
    <t>8609 Oak Pl</t>
  </si>
  <si>
    <t>C7N 2A9</t>
  </si>
  <si>
    <t>Koning, Élise</t>
  </si>
  <si>
    <t>6442 Willow Cres</t>
  </si>
  <si>
    <t>Y8E 0C9</t>
  </si>
  <si>
    <t>Work</t>
  </si>
  <si>
    <t>5984 Sunset Blvd</t>
  </si>
  <si>
    <t>R0Y 0K3</t>
  </si>
  <si>
    <t>6434 Elm Ln</t>
  </si>
  <si>
    <t>B1H 2S4</t>
  </si>
  <si>
    <t>Chowdhury, Ravi</t>
  </si>
  <si>
    <t>4512 Pine St</t>
  </si>
  <si>
    <t>V8S 5N0</t>
  </si>
  <si>
    <t>7198 Sunset Rd</t>
  </si>
  <si>
    <t>H7G 7V0</t>
  </si>
  <si>
    <t>9294 Sunset Pl</t>
  </si>
  <si>
    <t>K9S 7M8</t>
  </si>
  <si>
    <t>Silva, Mariana</t>
  </si>
  <si>
    <t>6813 Elm Ln</t>
  </si>
  <si>
    <t>T4L 0E5</t>
  </si>
  <si>
    <t>7684 Birch Blvd</t>
  </si>
  <si>
    <t>N6K 2G5</t>
  </si>
  <si>
    <t>Roy, Guillaume</t>
  </si>
  <si>
    <t>1879 Spruce Blvd</t>
  </si>
  <si>
    <t>Y1X 2A9</t>
  </si>
  <si>
    <t>Moreau, Alexandre</t>
  </si>
  <si>
    <t>2838 Sunset Ave</t>
  </si>
  <si>
    <t>T8A 6H9</t>
  </si>
  <si>
    <t>Falcone, Marco</t>
  </si>
  <si>
    <t>3068 Oak Ave</t>
  </si>
  <si>
    <t>Perth</t>
  </si>
  <si>
    <t>T3B 9R1</t>
  </si>
  <si>
    <t>Portable Dryer</t>
  </si>
  <si>
    <t>Alta Gestion Immobilière</t>
  </si>
  <si>
    <t>8560 Oak St</t>
  </si>
  <si>
    <t>E1K 4G5</t>
  </si>
  <si>
    <t>Weber, Anaïs</t>
  </si>
  <si>
    <t>4956 Pine Cres</t>
  </si>
  <si>
    <t>Smiths Falls</t>
  </si>
  <si>
    <t>G7S 1K7</t>
  </si>
  <si>
    <t>Mayfield, Marie</t>
  </si>
  <si>
    <t>8921 Elm Cres</t>
  </si>
  <si>
    <t>H8Y 1L8</t>
  </si>
  <si>
    <t>Dufort, Julien</t>
  </si>
  <si>
    <t>9822 Cedar Pl</t>
  </si>
  <si>
    <t>A4X 5X5</t>
  </si>
  <si>
    <t>Sawyer, Robert</t>
  </si>
  <si>
    <t>8084 Birch Way</t>
  </si>
  <si>
    <t>T7K 3H7</t>
  </si>
  <si>
    <t>Gagné, Émilie</t>
  </si>
  <si>
    <t>379 Sunset Rd</t>
  </si>
  <si>
    <t>Y0H 9B1</t>
  </si>
  <si>
    <t>Kim Aguelira, Samantha Rose</t>
  </si>
  <si>
    <t>Lemoine, Patrick</t>
  </si>
  <si>
    <t>3384 Elm Blvd</t>
  </si>
  <si>
    <t>M2P 1X5</t>
  </si>
  <si>
    <t>Bertrand, Claire</t>
  </si>
  <si>
    <t>7609 Sunset Ct</t>
  </si>
  <si>
    <t>Delta</t>
  </si>
  <si>
    <t>R3B 7L4</t>
  </si>
  <si>
    <t>Savard, Nicolas</t>
  </si>
  <si>
    <t>234 Pine Pl</t>
  </si>
  <si>
    <t>Carleton Place</t>
  </si>
  <si>
    <t>E4B 5P0</t>
  </si>
  <si>
    <t>Terry Crews, Chris Smith</t>
  </si>
  <si>
    <t>Arbour, Sophie</t>
  </si>
  <si>
    <t>9751 Pine Blvd</t>
  </si>
  <si>
    <t>K5N 3P5</t>
  </si>
  <si>
    <t>Moris Coldplay, Brad Lisbon</t>
  </si>
  <si>
    <t>Gervais, Maëlle</t>
  </si>
  <si>
    <t>3200 River St</t>
  </si>
  <si>
    <t>T3V 3N0</t>
  </si>
  <si>
    <t>Morin, Jade</t>
  </si>
  <si>
    <t>2686 Oak Ln</t>
  </si>
  <si>
    <t>A3B 0K7</t>
  </si>
  <si>
    <t>Roy, Camille</t>
  </si>
  <si>
    <t>687 Pine Ct</t>
  </si>
  <si>
    <t>N4P 1A3</t>
  </si>
  <si>
    <t>Labrie, Mélina</t>
  </si>
  <si>
    <t>1130 Spruce Blvd</t>
  </si>
  <si>
    <t>A8J 9S9</t>
  </si>
  <si>
    <t>Picard, Maxime</t>
  </si>
  <si>
    <t>8398 Elm Dr</t>
  </si>
  <si>
    <t>B6P 7B7</t>
  </si>
  <si>
    <t>Gauthier, Henri</t>
  </si>
  <si>
    <t>2869 Cedar Ln</t>
  </si>
  <si>
    <t>Y1K 0L0</t>
  </si>
  <si>
    <t>Ty Doe, Brad Lisbon</t>
  </si>
  <si>
    <t>Lemoine, Alexandre</t>
  </si>
  <si>
    <t>4799 Willow Rd</t>
  </si>
  <si>
    <t>Spencerville</t>
  </si>
  <si>
    <t>C8K 1G0</t>
  </si>
  <si>
    <t>Terry Crews, Moris Coldplay, Cameron Erroy</t>
  </si>
  <si>
    <t>Bolduc, Valérie</t>
  </si>
  <si>
    <t>2789 Elm St</t>
  </si>
  <si>
    <t>B8N 9E7</t>
  </si>
  <si>
    <t>Benoît, Lucie</t>
  </si>
  <si>
    <t>1474 Cedar Ave</t>
  </si>
  <si>
    <t>Kemptville</t>
  </si>
  <si>
    <t>K3X 5H0</t>
  </si>
  <si>
    <t>Paquin, Mireille</t>
  </si>
  <si>
    <t>9506 Spruce Pl</t>
  </si>
  <si>
    <t>N7V 5M7</t>
  </si>
  <si>
    <t>Jolicoeur, Manon</t>
  </si>
  <si>
    <t>2646 Cedar Ave</t>
  </si>
  <si>
    <t>C8Y 7R7</t>
  </si>
  <si>
    <t>Zhang, Wenjie</t>
  </si>
  <si>
    <t>2900 Cedar Rd</t>
  </si>
  <si>
    <t>K0Y 0X9</t>
  </si>
  <si>
    <t>Thériault, Nadine</t>
  </si>
  <si>
    <t>7953 Maple Pl</t>
  </si>
  <si>
    <t>H1A 1L0</t>
  </si>
  <si>
    <t>Merry Doris</t>
  </si>
  <si>
    <t>Vallée, Anissa</t>
  </si>
  <si>
    <t>4616 Elm Pl</t>
  </si>
  <si>
    <t>G4J 5B6</t>
  </si>
  <si>
    <t>Proulx, Léa</t>
  </si>
  <si>
    <t>7501 Elm Dr</t>
  </si>
  <si>
    <t>V5S 3S0</t>
  </si>
  <si>
    <t>Cameron Erroy, Ty Doe</t>
  </si>
  <si>
    <t>Desrosiers, Josée</t>
  </si>
  <si>
    <t>7267 Cedar Blvd</t>
  </si>
  <si>
    <t>R7E 7T1</t>
  </si>
  <si>
    <t>Papadakis, Eleni</t>
  </si>
  <si>
    <t>2230 River St</t>
  </si>
  <si>
    <t>T9P 6K7</t>
  </si>
  <si>
    <t>Gagné, Laurent</t>
  </si>
  <si>
    <t>4631 Pine Cres</t>
  </si>
  <si>
    <t>Dunvegan</t>
  </si>
  <si>
    <t>A0C 3S2</t>
  </si>
  <si>
    <t xml:space="preserve">Centre Santé Lotus  </t>
  </si>
  <si>
    <t>6748 Elm Ct</t>
  </si>
  <si>
    <t>Y9Y 4R6</t>
  </si>
  <si>
    <t>Brunet, Olivier</t>
  </si>
  <si>
    <t>6718 Willow Ct</t>
  </si>
  <si>
    <t>B6P 2G9</t>
  </si>
  <si>
    <t>Laflamme, Mireille</t>
  </si>
  <si>
    <t>8211 Maple Dr</t>
  </si>
  <si>
    <t>L'Orignal</t>
  </si>
  <si>
    <t>H0X 3K2</t>
  </si>
  <si>
    <t>Sainte-Eugene</t>
  </si>
  <si>
    <t>G3T 0R0</t>
  </si>
  <si>
    <t>Kassab, Nabil</t>
  </si>
  <si>
    <t>2344 Spruce Pl</t>
  </si>
  <si>
    <t>S4K 2N8</t>
  </si>
  <si>
    <t>Duchesne, François</t>
  </si>
  <si>
    <t>2422 Cedar Ave</t>
  </si>
  <si>
    <t>Alexandria</t>
  </si>
  <si>
    <t>T7G 5Y4</t>
  </si>
  <si>
    <t>Beauregard, Roxane</t>
  </si>
  <si>
    <t>680 Willow Blvd</t>
  </si>
  <si>
    <t>A2G 6J7</t>
  </si>
  <si>
    <t>Villeneuve, Nathalie</t>
  </si>
  <si>
    <t>9119 Sunset Ave</t>
  </si>
  <si>
    <t>H2P 4N0</t>
  </si>
  <si>
    <t>Ava.Leblanc@1Cleanair.Ca</t>
  </si>
  <si>
    <t>Bergeron, Denis</t>
  </si>
  <si>
    <t>8930 Spruce Ave</t>
  </si>
  <si>
    <t>H8R 3J5</t>
  </si>
  <si>
    <t>Sharma, Rakesh</t>
  </si>
  <si>
    <t>1614 Elm St</t>
  </si>
  <si>
    <t>Johnstown</t>
  </si>
  <si>
    <t>N4X 0B4</t>
  </si>
  <si>
    <t>Ty Doe</t>
  </si>
  <si>
    <t>Paquin, Caroline</t>
  </si>
  <si>
    <t>3416 Spruce Dr</t>
  </si>
  <si>
    <t>T1M 4J1</t>
  </si>
  <si>
    <t>Repair Install Dryer</t>
  </si>
  <si>
    <t xml:space="preserve">Gestion Altura  </t>
  </si>
  <si>
    <t>9047 River Ln</t>
  </si>
  <si>
    <t>K9A 1Y2</t>
  </si>
  <si>
    <t xml:space="preserve">Centre de Présentation Résilia – Résilia Habitations  </t>
  </si>
  <si>
    <t>4861 Sunset Cres</t>
  </si>
  <si>
    <t>A4Y 9L8</t>
  </si>
  <si>
    <t>Giroux, Marc</t>
  </si>
  <si>
    <t>8641 Willow Ln</t>
  </si>
  <si>
    <t>H5K 1J1</t>
  </si>
  <si>
    <t>Sundaram, Anjali</t>
  </si>
  <si>
    <t>2556 Birch Ct</t>
  </si>
  <si>
    <t>Russell</t>
  </si>
  <si>
    <t>M0K 6G1</t>
  </si>
  <si>
    <t>Chris Smith, Samantha Rose</t>
  </si>
  <si>
    <t xml:space="preserve">Immobilier LMB  </t>
  </si>
  <si>
    <t>7000 Birch St</t>
  </si>
  <si>
    <t>L5P 9L1</t>
  </si>
  <si>
    <t>Gauthier, Mélodie</t>
  </si>
  <si>
    <t>3979 Maple Rd</t>
  </si>
  <si>
    <t>H4V 8S8</t>
  </si>
  <si>
    <t>Pereira, Sandra</t>
  </si>
  <si>
    <t>7646 Sunset St</t>
  </si>
  <si>
    <t>Y0V 8L9</t>
  </si>
  <si>
    <t>Morissette, Sylvie</t>
  </si>
  <si>
    <t>4167 Birch Rd</t>
  </si>
  <si>
    <t>P2Y 5S7</t>
  </si>
  <si>
    <t>Cruz Scrivener, Dave B</t>
  </si>
  <si>
    <t>Dubois, Luc</t>
  </si>
  <si>
    <t>527 Spruce Way</t>
  </si>
  <si>
    <t>H1G 0M4</t>
  </si>
  <si>
    <t>Karavolos, Eleni</t>
  </si>
  <si>
    <t>902 Sunset Way</t>
  </si>
  <si>
    <t>L0X 5V1</t>
  </si>
  <si>
    <t>Marino, Claudia</t>
  </si>
  <si>
    <t>1405 Sunset Dr</t>
  </si>
  <si>
    <t>K5K 4S2</t>
  </si>
  <si>
    <t>Fontaine, Martin</t>
  </si>
  <si>
    <t>3306 Birch St</t>
  </si>
  <si>
    <t>Merrickville</t>
  </si>
  <si>
    <t>M7H 4N9</t>
  </si>
  <si>
    <t>Commercial Estimate</t>
  </si>
  <si>
    <t>Benoît, Claire</t>
  </si>
  <si>
    <t>4066 Sunset Pl</t>
  </si>
  <si>
    <t>J5V 6Y9</t>
  </si>
  <si>
    <t>Voided</t>
  </si>
  <si>
    <t>Nguyen, Marc</t>
  </si>
  <si>
    <t>6196 Cedar Pl</t>
  </si>
  <si>
    <t>K0M 3J0</t>
  </si>
  <si>
    <t>Moris Coldplay, Chris Smith</t>
  </si>
  <si>
    <t>Caron, Julie</t>
  </si>
  <si>
    <t>7686 Birch Rd</t>
  </si>
  <si>
    <t>B5R 3Y1</t>
  </si>
  <si>
    <t>Lemoine, David</t>
  </si>
  <si>
    <t>783 Maple St</t>
  </si>
  <si>
    <t>L8P 8P1</t>
  </si>
  <si>
    <t>Perron, Sophie</t>
  </si>
  <si>
    <t>1186 Cedar Ct</t>
  </si>
  <si>
    <t>Y1V 4X1</t>
  </si>
  <si>
    <t>Leclerc, Antoine</t>
  </si>
  <si>
    <t>9285 Cedar Ave</t>
  </si>
  <si>
    <t>V8G 3R2</t>
  </si>
  <si>
    <t>Moreau, Élise</t>
  </si>
  <si>
    <t>8615 Maple Rd</t>
  </si>
  <si>
    <t>E0A 1E1</t>
  </si>
  <si>
    <t>Moris Coldplay, Ty Doe</t>
  </si>
  <si>
    <t xml:space="preserve">Lemoine Immobilier  </t>
  </si>
  <si>
    <t>9996 Pine Cres</t>
  </si>
  <si>
    <t>N2C 0H0</t>
  </si>
  <si>
    <t>Gagnon, Manon</t>
  </si>
  <si>
    <t>6510 Maple Dr</t>
  </si>
  <si>
    <t>N8M 2P9</t>
  </si>
  <si>
    <t>Lafond, Marie</t>
  </si>
  <si>
    <t>4029 Spruce Ave</t>
  </si>
  <si>
    <t>H6V 1C2</t>
  </si>
  <si>
    <t>Mertikas, Gina</t>
  </si>
  <si>
    <t>9515 Willow Dr</t>
  </si>
  <si>
    <t>L0G 0G7</t>
  </si>
  <si>
    <t>Deluca, Maria</t>
  </si>
  <si>
    <t>3426 Sunset Ave</t>
  </si>
  <si>
    <t>G7N 0N1</t>
  </si>
  <si>
    <t>Ayers, Brian</t>
  </si>
  <si>
    <t>745 Oak Pl</t>
  </si>
  <si>
    <t>Oxford Mills</t>
  </si>
  <si>
    <t>N5J 4P0</t>
  </si>
  <si>
    <t>Tremblay, Julien</t>
  </si>
  <si>
    <t>5932 Maple Cres</t>
  </si>
  <si>
    <t>N9K 7X3</t>
  </si>
  <si>
    <t>Plamondon, Chantal</t>
  </si>
  <si>
    <t>1135 Willow Rd</t>
  </si>
  <si>
    <t>T6P 0T7</t>
  </si>
  <si>
    <t>Brouillette, Simon</t>
  </si>
  <si>
    <t>3936 Pine Ct</t>
  </si>
  <si>
    <t>L8L 2X5</t>
  </si>
  <si>
    <t>Lemoine, Denis</t>
  </si>
  <si>
    <t>7970 Maple St</t>
  </si>
  <si>
    <t>X0M 3V3</t>
  </si>
  <si>
    <t>Martel, Philippe</t>
  </si>
  <si>
    <t>8426 River Ct</t>
  </si>
  <si>
    <t>X5V 4T1</t>
  </si>
  <si>
    <t>Makris, Eleni</t>
  </si>
  <si>
    <t>1803 Sunset Cres</t>
  </si>
  <si>
    <t>K6L 1L2</t>
  </si>
  <si>
    <t>Dupont, Lise</t>
  </si>
  <si>
    <t>4350 Sunset Ave</t>
  </si>
  <si>
    <t>A9M 0B6</t>
  </si>
  <si>
    <t>Leroux, Damien</t>
  </si>
  <si>
    <t>8880 Cedar Blvd</t>
  </si>
  <si>
    <t>V6G 5V6</t>
  </si>
  <si>
    <t>Marchand, Léa</t>
  </si>
  <si>
    <t>9057 Birch Ln</t>
  </si>
  <si>
    <t>C5P 6K0</t>
  </si>
  <si>
    <t>June</t>
  </si>
  <si>
    <t>Lambert, Isabelle</t>
  </si>
  <si>
    <t>7514 Spruce Way</t>
  </si>
  <si>
    <t>N1B 7J9</t>
  </si>
  <si>
    <t>Region</t>
  </si>
  <si>
    <t>Manotick</t>
  </si>
  <si>
    <t>Nepean</t>
  </si>
  <si>
    <t>Orleans</t>
  </si>
  <si>
    <t>Dunrobin</t>
  </si>
  <si>
    <t>Navan</t>
  </si>
  <si>
    <t>Rockland</t>
  </si>
  <si>
    <t>Clarence-Rockland</t>
  </si>
  <si>
    <t>Plantagenet</t>
  </si>
  <si>
    <t>Casselman</t>
  </si>
  <si>
    <t>Embrun</t>
  </si>
  <si>
    <t>Stittsville</t>
  </si>
  <si>
    <t>Enterprise</t>
  </si>
  <si>
    <t>Barrhaven</t>
  </si>
  <si>
    <t>Kanata</t>
  </si>
  <si>
    <t>Greely</t>
  </si>
  <si>
    <t>Seeley's Bay</t>
  </si>
  <si>
    <t>Gatineau</t>
  </si>
  <si>
    <t>Chelsea</t>
  </si>
  <si>
    <t>L'Ange-Gardien</t>
  </si>
  <si>
    <t>Cantley</t>
  </si>
  <si>
    <t>Kazabazua</t>
  </si>
  <si>
    <t>Montebello</t>
  </si>
  <si>
    <t>Val-Des-Monts</t>
  </si>
  <si>
    <t>Luskville</t>
  </si>
  <si>
    <t>Aylmer</t>
  </si>
  <si>
    <t>Otter Lake</t>
  </si>
  <si>
    <t>Lac-des-Loups</t>
  </si>
  <si>
    <t>Wakefield</t>
  </si>
  <si>
    <t>Ripon</t>
  </si>
  <si>
    <t>Laval</t>
  </si>
  <si>
    <t>Montreal</t>
  </si>
  <si>
    <t>Dollard-des-Ormeaux</t>
  </si>
  <si>
    <t>Montréal</t>
  </si>
  <si>
    <t>Beaconsfield</t>
  </si>
  <si>
    <t>Brossard</t>
  </si>
  <si>
    <t>Kirkland</t>
  </si>
  <si>
    <t>Westmount</t>
  </si>
  <si>
    <t>Mont-Royal</t>
  </si>
  <si>
    <t>Pointe-Claire</t>
  </si>
  <si>
    <t>Baie-d'Urfé</t>
  </si>
  <si>
    <t>Sainte-Anne-des-Plaines</t>
  </si>
  <si>
    <t>Mascouche</t>
  </si>
  <si>
    <t>Candiac</t>
  </si>
  <si>
    <t>Chateauguay</t>
  </si>
  <si>
    <t>Lorraine</t>
  </si>
  <si>
    <t>Sainte-Thérèse</t>
  </si>
  <si>
    <t>Bois-des-Filion</t>
  </si>
  <si>
    <t>Kahnawake</t>
  </si>
  <si>
    <t>Saint-Hubert</t>
  </si>
  <si>
    <t>Côte Saint-Luc</t>
  </si>
  <si>
    <t>Varennes</t>
  </si>
  <si>
    <t>Rosemère</t>
  </si>
  <si>
    <t>Deux-Montagnes</t>
  </si>
  <si>
    <t>Longueuil</t>
  </si>
  <si>
    <t>Blainville</t>
  </si>
  <si>
    <t>Amherstview</t>
  </si>
  <si>
    <t>Cardinal</t>
  </si>
  <si>
    <t>Wendover</t>
  </si>
  <si>
    <t>Hampstead</t>
  </si>
  <si>
    <t>Québec City</t>
  </si>
  <si>
    <t>Quebec</t>
  </si>
  <si>
    <t>Saint-Jérôme</t>
  </si>
  <si>
    <t>L'Ancienne-Lorette</t>
  </si>
  <si>
    <t>Châteauguay</t>
  </si>
  <si>
    <t>Québec</t>
  </si>
  <si>
    <t>Montréal-Ouest</t>
  </si>
  <si>
    <t>Ottaw</t>
  </si>
  <si>
    <t>Barhaven</t>
  </si>
  <si>
    <t>Senneville</t>
  </si>
  <si>
    <t>No Name</t>
  </si>
  <si>
    <t>No Address</t>
  </si>
  <si>
    <t>Sum of SubTotal</t>
  </si>
  <si>
    <t>Grand Total</t>
  </si>
  <si>
    <t>Distinct Count of CreatedBy</t>
  </si>
  <si>
    <t>Revenue per Sales Rep</t>
  </si>
  <si>
    <t>Jun</t>
  </si>
  <si>
    <t>Jul</t>
  </si>
  <si>
    <t>Count of JobType</t>
  </si>
  <si>
    <t>Total Revenue(SubTotal)</t>
  </si>
  <si>
    <t>No.Completed Jobs</t>
  </si>
  <si>
    <t xml:space="preserve">Count </t>
  </si>
  <si>
    <t>Total Revemnue(SubTotal)</t>
  </si>
  <si>
    <t>Top 3 Sales Reps</t>
  </si>
  <si>
    <t>Sales Rep according to Performance</t>
  </si>
  <si>
    <t>Revenue (SubTotal)</t>
  </si>
  <si>
    <t>Job type</t>
  </si>
  <si>
    <t>Days of the Week</t>
  </si>
  <si>
    <t>Dates</t>
  </si>
  <si>
    <t>TOTAL REVENUE</t>
  </si>
  <si>
    <t>Average revenue per Job</t>
  </si>
  <si>
    <t>27-Jun</t>
  </si>
  <si>
    <t>1-Jul</t>
  </si>
  <si>
    <t>2-Jul</t>
  </si>
  <si>
    <t>3-Jul</t>
  </si>
  <si>
    <t>4-Jul</t>
  </si>
  <si>
    <t>7-Jul</t>
  </si>
  <si>
    <t>8-Jul</t>
  </si>
  <si>
    <t>9-Jul</t>
  </si>
  <si>
    <t>10-Jul</t>
  </si>
  <si>
    <t>11-Jul</t>
  </si>
  <si>
    <t>14-Jul</t>
  </si>
  <si>
    <t>15-Jul</t>
  </si>
  <si>
    <t>16-Jul</t>
  </si>
  <si>
    <t>17-Jul</t>
  </si>
  <si>
    <t>18-Jul</t>
  </si>
  <si>
    <t>19-Jul</t>
  </si>
  <si>
    <t>21-Jul</t>
  </si>
  <si>
    <t>22-Jul</t>
  </si>
  <si>
    <t>23-Jul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</si>
</sst>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0" fontId="0" fillId="0" borderId="0" xfId="0" applyNumberFormat="1"/>
    <xf numFmtId="0" fontId="0" fillId="0" borderId="0" xfId="0" applyNumberFormat="1" applyAlignment="1">
      <alignment vertical="center" wrapText="1"/>
    </xf>
    <xf numFmtId="1"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0" borderId="0" xfId="0" applyAlignment="1">
      <alignment horizontal="left" indent="1"/>
    </xf>
    <xf numFmtId="0" fontId="0" fillId="2" borderId="0" xfId="0" applyFill="1"/>
    <xf numFmtId="0" fontId="2" fillId="2" borderId="0" xfId="0" applyFont="1" applyFill="1" applyAlignment="1">
      <alignment horizontal="center" vertical="center"/>
    </xf>
  </cellXfs>
  <cellStyles count="1">
    <cellStyle name="Normal" xfId="0" builtinId="0"/>
  </cellStyles>
  <dxfs count="31">
    <dxf>
      <numFmt numFmtId="1" formatCode="0"/>
    </dxf>
    <dxf>
      <numFmt numFmtId="1" formatCode="0"/>
    </dxf>
    <dxf>
      <numFmt numFmtId="1" formatCode="0"/>
    </dxf>
    <dxf>
      <fill>
        <patternFill>
          <bgColor rgb="FFFF0000"/>
        </patternFill>
      </fill>
    </dxf>
    <dxf>
      <fill>
        <patternFill>
          <bgColor rgb="FF92D050"/>
        </patternFill>
      </fill>
    </dxf>
    <dxf>
      <fill>
        <patternFill>
          <bgColor rgb="FF92D050"/>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11/relationships/timelineCache" Target="timelineCaches/timelineCache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[Abiol Ajao_Excel Master 1.xlsx]Pivot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rPr>
              <a:t>TOP</a:t>
            </a:r>
            <a:r>
              <a:rPr lang="en-US" baseline="0">
                <a:solidFill>
                  <a:schemeClr val="accent1"/>
                </a:solidFill>
              </a:rPr>
              <a:t> 3 SALES REPS</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table'!$B$14</c:f>
              <c:strCache>
                <c:ptCount val="1"/>
                <c:pt idx="0">
                  <c:v>Total</c:v>
                </c:pt>
              </c:strCache>
            </c:strRef>
          </c:tx>
          <c:spPr>
            <a:solidFill>
              <a:schemeClr val="accent1"/>
            </a:solidFill>
            <a:ln>
              <a:noFill/>
            </a:ln>
            <a:effectLst/>
          </c:spPr>
          <c:invertIfNegative val="0"/>
          <c:cat>
            <c:strRef>
              <c:f>'Pivot table'!$A$15:$A$18</c:f>
              <c:strCache>
                <c:ptCount val="3"/>
                <c:pt idx="0">
                  <c:v>Devin James</c:v>
                </c:pt>
                <c:pt idx="1">
                  <c:v>Adam Smith</c:v>
                </c:pt>
                <c:pt idx="2">
                  <c:v>Lou Mcdonalds</c:v>
                </c:pt>
              </c:strCache>
            </c:strRef>
          </c:cat>
          <c:val>
            <c:numRef>
              <c:f>'Pivot table'!$B$15:$B$18</c:f>
              <c:numCache>
                <c:formatCode>0</c:formatCode>
                <c:ptCount val="3"/>
                <c:pt idx="0">
                  <c:v>13536.95</c:v>
                </c:pt>
                <c:pt idx="1">
                  <c:v>4198</c:v>
                </c:pt>
                <c:pt idx="2">
                  <c:v>2975</c:v>
                </c:pt>
              </c:numCache>
            </c:numRef>
          </c:val>
          <c:extLst>
            <c:ext xmlns:c16="http://schemas.microsoft.com/office/drawing/2014/chart" uri="{C3380CC4-5D6E-409C-BE32-E72D297353CC}">
              <c16:uniqueId val="{00000000-B4C0-402A-A046-76AB7AD4FB4A}"/>
            </c:ext>
          </c:extLst>
        </c:ser>
        <c:dLbls>
          <c:showLegendKey val="0"/>
          <c:showVal val="0"/>
          <c:showCatName val="0"/>
          <c:showSerName val="0"/>
          <c:showPercent val="0"/>
          <c:showBubbleSize val="0"/>
        </c:dLbls>
        <c:gapWidth val="219"/>
        <c:overlap val="-27"/>
        <c:axId val="1816787632"/>
        <c:axId val="1816796752"/>
      </c:barChart>
      <c:catAx>
        <c:axId val="181678763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US" b="1">
                    <a:solidFill>
                      <a:schemeClr val="accent1"/>
                    </a:solidFill>
                  </a:rPr>
                  <a:t>SALES REPS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816796752"/>
        <c:crosses val="autoZero"/>
        <c:auto val="1"/>
        <c:lblAlgn val="ctr"/>
        <c:lblOffset val="100"/>
        <c:noMultiLvlLbl val="0"/>
      </c:catAx>
      <c:valAx>
        <c:axId val="1816796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US" b="1">
                    <a:solidFill>
                      <a:schemeClr val="accent1"/>
                    </a:solidFill>
                  </a:rPr>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81678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[Abiol Ajao_Excel Master 1.xlsx]Pivot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rPr>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table'!$A$21:$A$23</c:f>
              <c:strCache>
                <c:ptCount val="2"/>
                <c:pt idx="0">
                  <c:v>Kingston</c:v>
                </c:pt>
                <c:pt idx="1">
                  <c:v>Ottawa</c:v>
                </c:pt>
              </c:strCache>
            </c:strRef>
          </c:cat>
          <c:val>
            <c:numRef>
              <c:f>'Pivot table'!$B$21:$B$23</c:f>
              <c:numCache>
                <c:formatCode>0</c:formatCode>
                <c:ptCount val="2"/>
                <c:pt idx="0">
                  <c:v>25877</c:v>
                </c:pt>
                <c:pt idx="1">
                  <c:v>65190.13</c:v>
                </c:pt>
              </c:numCache>
            </c:numRef>
          </c:val>
          <c:extLst>
            <c:ext xmlns:c16="http://schemas.microsoft.com/office/drawing/2014/chart" uri="{C3380CC4-5D6E-409C-BE32-E72D297353CC}">
              <c16:uniqueId val="{00000000-7B07-40CF-9C8A-5E0D5ABA984A}"/>
            </c:ext>
          </c:extLst>
        </c:ser>
        <c:dLbls>
          <c:showLegendKey val="0"/>
          <c:showVal val="0"/>
          <c:showCatName val="0"/>
          <c:showSerName val="0"/>
          <c:showPercent val="0"/>
          <c:showBubbleSize val="0"/>
        </c:dLbls>
        <c:gapWidth val="219"/>
        <c:overlap val="-27"/>
        <c:axId val="31353184"/>
        <c:axId val="31373344"/>
      </c:barChart>
      <c:catAx>
        <c:axId val="3135318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US" b="1">
                    <a:solidFill>
                      <a:schemeClr val="accent1"/>
                    </a:solidFill>
                  </a:rPr>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31373344"/>
        <c:crosses val="autoZero"/>
        <c:auto val="1"/>
        <c:lblAlgn val="ctr"/>
        <c:lblOffset val="100"/>
        <c:noMultiLvlLbl val="0"/>
      </c:catAx>
      <c:valAx>
        <c:axId val="31373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US" b="1">
                    <a:solidFill>
                      <a:schemeClr val="accent1"/>
                    </a:solidFill>
                  </a:rPr>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3135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[Abiol Ajao_Excel Master 1.xlsx]Pivot table!PivotTable13</c:name>
    <c:fmtId val="3"/>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a:t>REVENUE BY JOB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c:f>
              <c:strCache>
                <c:ptCount val="1"/>
                <c:pt idx="0">
                  <c:v>Total</c:v>
                </c:pt>
              </c:strCache>
            </c:strRef>
          </c:tx>
          <c:spPr>
            <a:solidFill>
              <a:schemeClr val="accent1"/>
            </a:solidFill>
            <a:ln>
              <a:noFill/>
            </a:ln>
            <a:effectLst/>
          </c:spPr>
          <c:invertIfNegative val="0"/>
          <c:cat>
            <c:strRef>
              <c:f>'Pivot table'!$A$26:$A$38</c:f>
              <c:strCache>
                <c:ptCount val="12"/>
                <c:pt idx="0">
                  <c:v>Commercial Work</c:v>
                </c:pt>
                <c:pt idx="1">
                  <c:v>Air Duct</c:v>
                </c:pt>
                <c:pt idx="2">
                  <c:v>OTTAWA DUCT</c:v>
                </c:pt>
                <c:pt idx="3">
                  <c:v>Duct &amp; Dryer</c:v>
                </c:pt>
                <c:pt idx="4">
                  <c:v>Dryer Vent</c:v>
                </c:pt>
                <c:pt idx="5">
                  <c:v>Joseph Air Duct</c:v>
                </c:pt>
                <c:pt idx="6">
                  <c:v>Work</c:v>
                </c:pt>
                <c:pt idx="7">
                  <c:v>Commercial Estimate</c:v>
                </c:pt>
                <c:pt idx="8">
                  <c:v>Rework</c:v>
                </c:pt>
                <c:pt idx="9">
                  <c:v>Portable Duct</c:v>
                </c:pt>
                <c:pt idx="10">
                  <c:v>Repair Install Dryer</c:v>
                </c:pt>
                <c:pt idx="11">
                  <c:v>Portable Dryer</c:v>
                </c:pt>
              </c:strCache>
            </c:strRef>
          </c:cat>
          <c:val>
            <c:numRef>
              <c:f>'Pivot table'!$B$26:$B$38</c:f>
              <c:numCache>
                <c:formatCode>0</c:formatCode>
                <c:ptCount val="12"/>
                <c:pt idx="0">
                  <c:v>32261</c:v>
                </c:pt>
                <c:pt idx="1">
                  <c:v>29295</c:v>
                </c:pt>
                <c:pt idx="2">
                  <c:v>15809</c:v>
                </c:pt>
                <c:pt idx="3">
                  <c:v>3663.2</c:v>
                </c:pt>
                <c:pt idx="4">
                  <c:v>3455.96</c:v>
                </c:pt>
                <c:pt idx="5">
                  <c:v>2055</c:v>
                </c:pt>
                <c:pt idx="6">
                  <c:v>1658.98</c:v>
                </c:pt>
                <c:pt idx="7">
                  <c:v>1349</c:v>
                </c:pt>
                <c:pt idx="8">
                  <c:v>642</c:v>
                </c:pt>
                <c:pt idx="9">
                  <c:v>449</c:v>
                </c:pt>
                <c:pt idx="10">
                  <c:v>299</c:v>
                </c:pt>
                <c:pt idx="11">
                  <c:v>129.99</c:v>
                </c:pt>
              </c:numCache>
            </c:numRef>
          </c:val>
          <c:extLst>
            <c:ext xmlns:c16="http://schemas.microsoft.com/office/drawing/2014/chart" uri="{C3380CC4-5D6E-409C-BE32-E72D297353CC}">
              <c16:uniqueId val="{00000000-66A4-4184-ADF1-040FF3CCF79F}"/>
            </c:ext>
          </c:extLst>
        </c:ser>
        <c:dLbls>
          <c:showLegendKey val="0"/>
          <c:showVal val="0"/>
          <c:showCatName val="0"/>
          <c:showSerName val="0"/>
          <c:showPercent val="0"/>
          <c:showBubbleSize val="0"/>
        </c:dLbls>
        <c:gapWidth val="219"/>
        <c:overlap val="-27"/>
        <c:axId val="2015687392"/>
        <c:axId val="31346944"/>
      </c:barChart>
      <c:catAx>
        <c:axId val="201568739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US"/>
                  <a:t>JOB TYPE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31346944"/>
        <c:crosses val="autoZero"/>
        <c:auto val="1"/>
        <c:lblAlgn val="ctr"/>
        <c:lblOffset val="100"/>
        <c:noMultiLvlLbl val="0"/>
      </c:catAx>
      <c:valAx>
        <c:axId val="31346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2015687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b="1">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[Abiol Ajao_Excel Master 1.xlsx]Pivot table!PivotTable17</c:name>
    <c:fmtId val="3"/>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a:t>JOBS OVER TIME</a:t>
            </a:r>
          </a:p>
        </c:rich>
      </c:tx>
      <c:overlay val="0"/>
      <c:spPr>
        <a:noFill/>
        <a:ln>
          <a:solidFill>
            <a:schemeClr val="accent1"/>
          </a:solid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table'!$E$40</c:f>
              <c:strCache>
                <c:ptCount val="1"/>
                <c:pt idx="0">
                  <c:v>Total</c:v>
                </c:pt>
              </c:strCache>
            </c:strRef>
          </c:tx>
          <c:spPr>
            <a:ln w="28575" cap="rnd">
              <a:solidFill>
                <a:schemeClr val="accent1"/>
              </a:solidFill>
              <a:round/>
            </a:ln>
            <a:effectLst/>
          </c:spPr>
          <c:marker>
            <c:symbol val="none"/>
          </c:marker>
          <c:cat>
            <c:multiLvlStrRef>
              <c:f>'Pivot table'!$D$41:$D$62</c:f>
              <c:multiLvlStrCache>
                <c:ptCount val="19"/>
                <c:lvl>
                  <c:pt idx="0">
                    <c:v>27-Jun</c:v>
                  </c:pt>
                  <c:pt idx="1">
                    <c:v>1-Jul</c:v>
                  </c:pt>
                  <c:pt idx="2">
                    <c:v>2-Jul</c:v>
                  </c:pt>
                  <c:pt idx="3">
                    <c:v>3-Jul</c:v>
                  </c:pt>
                  <c:pt idx="4">
                    <c:v>4-Jul</c:v>
                  </c:pt>
                  <c:pt idx="5">
                    <c:v>7-Jul</c:v>
                  </c:pt>
                  <c:pt idx="6">
                    <c:v>8-Jul</c:v>
                  </c:pt>
                  <c:pt idx="7">
                    <c:v>9-Jul</c:v>
                  </c:pt>
                  <c:pt idx="8">
                    <c:v>10-Jul</c:v>
                  </c:pt>
                  <c:pt idx="9">
                    <c:v>11-Jul</c:v>
                  </c:pt>
                  <c:pt idx="10">
                    <c:v>14-Jul</c:v>
                  </c:pt>
                  <c:pt idx="11">
                    <c:v>15-Jul</c:v>
                  </c:pt>
                  <c:pt idx="12">
                    <c:v>16-Jul</c:v>
                  </c:pt>
                  <c:pt idx="13">
                    <c:v>17-Jul</c:v>
                  </c:pt>
                  <c:pt idx="14">
                    <c:v>18-Jul</c:v>
                  </c:pt>
                  <c:pt idx="15">
                    <c:v>19-Jul</c:v>
                  </c:pt>
                  <c:pt idx="16">
                    <c:v>21-Jul</c:v>
                  </c:pt>
                  <c:pt idx="17">
                    <c:v>22-Jul</c:v>
                  </c:pt>
                  <c:pt idx="18">
                    <c:v>23-Jul</c:v>
                  </c:pt>
                </c:lvl>
                <c:lvl>
                  <c:pt idx="0">
                    <c:v>Jun</c:v>
                  </c:pt>
                  <c:pt idx="1">
                    <c:v>Jul</c:v>
                  </c:pt>
                </c:lvl>
              </c:multiLvlStrCache>
            </c:multiLvlStrRef>
          </c:cat>
          <c:val>
            <c:numRef>
              <c:f>'Pivot table'!$E$41:$E$62</c:f>
              <c:numCache>
                <c:formatCode>0</c:formatCode>
                <c:ptCount val="19"/>
                <c:pt idx="0">
                  <c:v>1</c:v>
                </c:pt>
                <c:pt idx="1">
                  <c:v>8</c:v>
                </c:pt>
                <c:pt idx="2">
                  <c:v>8</c:v>
                </c:pt>
                <c:pt idx="3">
                  <c:v>5</c:v>
                </c:pt>
                <c:pt idx="4">
                  <c:v>11</c:v>
                </c:pt>
                <c:pt idx="5">
                  <c:v>3</c:v>
                </c:pt>
                <c:pt idx="6">
                  <c:v>4</c:v>
                </c:pt>
                <c:pt idx="7">
                  <c:v>4</c:v>
                </c:pt>
                <c:pt idx="8">
                  <c:v>6</c:v>
                </c:pt>
                <c:pt idx="9">
                  <c:v>8</c:v>
                </c:pt>
                <c:pt idx="10">
                  <c:v>7</c:v>
                </c:pt>
                <c:pt idx="11">
                  <c:v>20</c:v>
                </c:pt>
                <c:pt idx="12">
                  <c:v>12</c:v>
                </c:pt>
                <c:pt idx="13">
                  <c:v>10</c:v>
                </c:pt>
                <c:pt idx="14">
                  <c:v>9</c:v>
                </c:pt>
                <c:pt idx="15">
                  <c:v>1</c:v>
                </c:pt>
                <c:pt idx="16">
                  <c:v>10</c:v>
                </c:pt>
                <c:pt idx="17">
                  <c:v>8</c:v>
                </c:pt>
                <c:pt idx="18">
                  <c:v>8</c:v>
                </c:pt>
              </c:numCache>
            </c:numRef>
          </c:val>
          <c:smooth val="0"/>
          <c:extLst>
            <c:ext xmlns:c16="http://schemas.microsoft.com/office/drawing/2014/chart" uri="{C3380CC4-5D6E-409C-BE32-E72D297353CC}">
              <c16:uniqueId val="{00000000-80F0-4E8E-8897-D2943F360F15}"/>
            </c:ext>
          </c:extLst>
        </c:ser>
        <c:dLbls>
          <c:dLblPos val="t"/>
          <c:showLegendKey val="0"/>
          <c:showVal val="0"/>
          <c:showCatName val="0"/>
          <c:showSerName val="0"/>
          <c:showPercent val="0"/>
          <c:showBubbleSize val="0"/>
        </c:dLbls>
        <c:smooth val="0"/>
        <c:axId val="2102585023"/>
        <c:axId val="2102585503"/>
      </c:lineChart>
      <c:catAx>
        <c:axId val="210258502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2102585503"/>
        <c:crosses val="autoZero"/>
        <c:auto val="1"/>
        <c:lblAlgn val="ctr"/>
        <c:lblOffset val="100"/>
        <c:noMultiLvlLbl val="0"/>
      </c:catAx>
      <c:valAx>
        <c:axId val="2102585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US"/>
                  <a:t>JOBS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210258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b="1">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[Abiol Ajao_Excel Master 1.xlsx]Pivot table!PivotTable16</c:name>
    <c:fmtId val="2"/>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a:t>REVENUE OVER</a:t>
            </a:r>
            <a:r>
              <a:rPr lang="en-US" baseline="0"/>
              <a:t> TIME</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c:f>
              <c:strCache>
                <c:ptCount val="1"/>
                <c:pt idx="0">
                  <c:v>Total</c:v>
                </c:pt>
              </c:strCache>
            </c:strRef>
          </c:tx>
          <c:spPr>
            <a:ln w="28575" cap="rnd">
              <a:solidFill>
                <a:schemeClr val="accent1"/>
              </a:solidFill>
              <a:round/>
            </a:ln>
            <a:effectLst/>
          </c:spPr>
          <c:marker>
            <c:symbol val="none"/>
          </c:marker>
          <c:cat>
            <c:multiLvlStrRef>
              <c:f>'Pivot table'!$A$41:$A$62</c:f>
              <c:multiLvlStrCache>
                <c:ptCount val="19"/>
                <c:lvl>
                  <c:pt idx="0">
                    <c:v>27-Jun</c:v>
                  </c:pt>
                  <c:pt idx="1">
                    <c:v>1-Jul</c:v>
                  </c:pt>
                  <c:pt idx="2">
                    <c:v>2-Jul</c:v>
                  </c:pt>
                  <c:pt idx="3">
                    <c:v>3-Jul</c:v>
                  </c:pt>
                  <c:pt idx="4">
                    <c:v>4-Jul</c:v>
                  </c:pt>
                  <c:pt idx="5">
                    <c:v>7-Jul</c:v>
                  </c:pt>
                  <c:pt idx="6">
                    <c:v>8-Jul</c:v>
                  </c:pt>
                  <c:pt idx="7">
                    <c:v>9-Jul</c:v>
                  </c:pt>
                  <c:pt idx="8">
                    <c:v>10-Jul</c:v>
                  </c:pt>
                  <c:pt idx="9">
                    <c:v>11-Jul</c:v>
                  </c:pt>
                  <c:pt idx="10">
                    <c:v>14-Jul</c:v>
                  </c:pt>
                  <c:pt idx="11">
                    <c:v>15-Jul</c:v>
                  </c:pt>
                  <c:pt idx="12">
                    <c:v>16-Jul</c:v>
                  </c:pt>
                  <c:pt idx="13">
                    <c:v>17-Jul</c:v>
                  </c:pt>
                  <c:pt idx="14">
                    <c:v>18-Jul</c:v>
                  </c:pt>
                  <c:pt idx="15">
                    <c:v>19-Jul</c:v>
                  </c:pt>
                  <c:pt idx="16">
                    <c:v>21-Jul</c:v>
                  </c:pt>
                  <c:pt idx="17">
                    <c:v>22-Jul</c:v>
                  </c:pt>
                  <c:pt idx="18">
                    <c:v>23-Jul</c:v>
                  </c:pt>
                </c:lvl>
                <c:lvl>
                  <c:pt idx="0">
                    <c:v>Jun</c:v>
                  </c:pt>
                  <c:pt idx="1">
                    <c:v>Jul</c:v>
                  </c:pt>
                </c:lvl>
              </c:multiLvlStrCache>
            </c:multiLvlStrRef>
          </c:cat>
          <c:val>
            <c:numRef>
              <c:f>'Pivot table'!$B$41:$B$62</c:f>
              <c:numCache>
                <c:formatCode>0</c:formatCode>
                <c:ptCount val="19"/>
                <c:pt idx="0">
                  <c:v>398</c:v>
                </c:pt>
                <c:pt idx="1">
                  <c:v>4746</c:v>
                </c:pt>
                <c:pt idx="2">
                  <c:v>3010</c:v>
                </c:pt>
                <c:pt idx="3">
                  <c:v>2446</c:v>
                </c:pt>
                <c:pt idx="4">
                  <c:v>6976</c:v>
                </c:pt>
                <c:pt idx="5">
                  <c:v>1110</c:v>
                </c:pt>
                <c:pt idx="6">
                  <c:v>1769</c:v>
                </c:pt>
                <c:pt idx="7">
                  <c:v>2574</c:v>
                </c:pt>
                <c:pt idx="8">
                  <c:v>2461</c:v>
                </c:pt>
                <c:pt idx="9">
                  <c:v>3544</c:v>
                </c:pt>
                <c:pt idx="10">
                  <c:v>2910</c:v>
                </c:pt>
                <c:pt idx="11">
                  <c:v>8148.93</c:v>
                </c:pt>
                <c:pt idx="12">
                  <c:v>5373.2</c:v>
                </c:pt>
                <c:pt idx="13">
                  <c:v>4217</c:v>
                </c:pt>
                <c:pt idx="14">
                  <c:v>3987</c:v>
                </c:pt>
                <c:pt idx="15">
                  <c:v>12000</c:v>
                </c:pt>
                <c:pt idx="16">
                  <c:v>18647</c:v>
                </c:pt>
                <c:pt idx="17">
                  <c:v>3363</c:v>
                </c:pt>
                <c:pt idx="18">
                  <c:v>3387</c:v>
                </c:pt>
              </c:numCache>
            </c:numRef>
          </c:val>
          <c:smooth val="0"/>
          <c:extLst>
            <c:ext xmlns:c16="http://schemas.microsoft.com/office/drawing/2014/chart" uri="{C3380CC4-5D6E-409C-BE32-E72D297353CC}">
              <c16:uniqueId val="{00000000-E607-4965-9462-76FED7BB9A82}"/>
            </c:ext>
          </c:extLst>
        </c:ser>
        <c:dLbls>
          <c:showLegendKey val="0"/>
          <c:showVal val="0"/>
          <c:showCatName val="0"/>
          <c:showSerName val="0"/>
          <c:showPercent val="0"/>
          <c:showBubbleSize val="0"/>
        </c:dLbls>
        <c:smooth val="0"/>
        <c:axId val="2102568703"/>
        <c:axId val="2102564383"/>
      </c:lineChart>
      <c:catAx>
        <c:axId val="210256870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2102564383"/>
        <c:crosses val="autoZero"/>
        <c:auto val="1"/>
        <c:lblAlgn val="ctr"/>
        <c:lblOffset val="100"/>
        <c:noMultiLvlLbl val="0"/>
      </c:catAx>
      <c:valAx>
        <c:axId val="21025643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US"/>
                  <a:t>REVENUE</a:t>
                </a:r>
              </a:p>
            </c:rich>
          </c:tx>
          <c:overlay val="0"/>
          <c:spPr>
            <a:noFill/>
            <a:ln>
              <a:solidFill>
                <a:schemeClr val="accent1"/>
              </a:solid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210256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b="1">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[Abiol Ajao_Excel Master 1.xlsx]Pivot table!PivotTable14</c:name>
    <c:fmtId val="2"/>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a:t>REVENUE BY DAYS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table'!$E$25</c:f>
              <c:strCache>
                <c:ptCount val="1"/>
                <c:pt idx="0">
                  <c:v>Total</c:v>
                </c:pt>
              </c:strCache>
            </c:strRef>
          </c:tx>
          <c:spPr>
            <a:solidFill>
              <a:schemeClr val="accent1"/>
            </a:solidFill>
            <a:ln>
              <a:noFill/>
            </a:ln>
            <a:effectLst/>
          </c:spPr>
          <c:invertIfNegative val="0"/>
          <c:cat>
            <c:strRef>
              <c:f>'Pivot table'!$D$26:$D$32</c:f>
              <c:strCache>
                <c:ptCount val="6"/>
                <c:pt idx="0">
                  <c:v>Monday</c:v>
                </c:pt>
                <c:pt idx="1">
                  <c:v>Tuesday</c:v>
                </c:pt>
                <c:pt idx="2">
                  <c:v>Friday</c:v>
                </c:pt>
                <c:pt idx="3">
                  <c:v>Wednesday</c:v>
                </c:pt>
                <c:pt idx="4">
                  <c:v>Saturday</c:v>
                </c:pt>
                <c:pt idx="5">
                  <c:v>Thursday</c:v>
                </c:pt>
              </c:strCache>
            </c:strRef>
          </c:cat>
          <c:val>
            <c:numRef>
              <c:f>'Pivot table'!$E$26:$E$32</c:f>
              <c:numCache>
                <c:formatCode>0</c:formatCode>
                <c:ptCount val="6"/>
                <c:pt idx="0">
                  <c:v>22667</c:v>
                </c:pt>
                <c:pt idx="1">
                  <c:v>18026.93</c:v>
                </c:pt>
                <c:pt idx="2">
                  <c:v>14905</c:v>
                </c:pt>
                <c:pt idx="3">
                  <c:v>14344.2</c:v>
                </c:pt>
                <c:pt idx="4">
                  <c:v>12000</c:v>
                </c:pt>
                <c:pt idx="5">
                  <c:v>9124</c:v>
                </c:pt>
              </c:numCache>
            </c:numRef>
          </c:val>
          <c:extLst>
            <c:ext xmlns:c16="http://schemas.microsoft.com/office/drawing/2014/chart" uri="{C3380CC4-5D6E-409C-BE32-E72D297353CC}">
              <c16:uniqueId val="{00000000-369F-43F5-8090-CB3D23E65861}"/>
            </c:ext>
          </c:extLst>
        </c:ser>
        <c:dLbls>
          <c:showLegendKey val="0"/>
          <c:showVal val="0"/>
          <c:showCatName val="0"/>
          <c:showSerName val="0"/>
          <c:showPercent val="0"/>
          <c:showBubbleSize val="0"/>
        </c:dLbls>
        <c:gapWidth val="219"/>
        <c:overlap val="-27"/>
        <c:axId val="12758528"/>
        <c:axId val="12759968"/>
      </c:barChart>
      <c:catAx>
        <c:axId val="127585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US"/>
                  <a:t>DAYS OF THE WEEK</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2759968"/>
        <c:crosses val="autoZero"/>
        <c:auto val="1"/>
        <c:lblAlgn val="ctr"/>
        <c:lblOffset val="100"/>
        <c:noMultiLvlLbl val="0"/>
      </c:catAx>
      <c:valAx>
        <c:axId val="12759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r>
                  <a:rPr lang="en-US"/>
                  <a:t>REVENUE</a:t>
                </a:r>
              </a:p>
            </c:rich>
          </c:tx>
          <c:overlay val="0"/>
          <c:spPr>
            <a:noFill/>
            <a:ln>
              <a:solidFill>
                <a:schemeClr val="accent1"/>
              </a:solidFill>
            </a:ln>
            <a:effectLst/>
          </c:spPr>
          <c:txPr>
            <a:bodyPr rot="-540000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1275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285751</xdr:colOff>
      <xdr:row>0</xdr:row>
      <xdr:rowOff>149679</xdr:rowOff>
    </xdr:from>
    <xdr:to>
      <xdr:col>30</xdr:col>
      <xdr:colOff>489858</xdr:colOff>
      <xdr:row>2</xdr:row>
      <xdr:rowOff>163287</xdr:rowOff>
    </xdr:to>
    <xdr:sp macro="" textlink="">
      <xdr:nvSpPr>
        <xdr:cNvPr id="2" name="TextBox 1">
          <a:extLst>
            <a:ext uri="{FF2B5EF4-FFF2-40B4-BE49-F238E27FC236}">
              <a16:creationId xmlns:a16="http://schemas.microsoft.com/office/drawing/2014/main" id="{D8B4C709-063F-BD32-A370-296E343F4A90}"/>
            </a:ext>
          </a:extLst>
        </xdr:cNvPr>
        <xdr:cNvSpPr txBox="1"/>
      </xdr:nvSpPr>
      <xdr:spPr>
        <a:xfrm>
          <a:off x="666751" y="149679"/>
          <a:ext cx="17961428" cy="394608"/>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BUSINESS PERFORMANCE DASHBOARD (JUNE-JULY 2025)</a:t>
          </a:r>
        </a:p>
      </xdr:txBody>
    </xdr:sp>
    <xdr:clientData/>
  </xdr:twoCellAnchor>
  <xdr:twoCellAnchor>
    <xdr:from>
      <xdr:col>7</xdr:col>
      <xdr:colOff>457200</xdr:colOff>
      <xdr:row>6</xdr:row>
      <xdr:rowOff>85725</xdr:rowOff>
    </xdr:from>
    <xdr:to>
      <xdr:col>10</xdr:col>
      <xdr:colOff>161925</xdr:colOff>
      <xdr:row>9</xdr:row>
      <xdr:rowOff>9525</xdr:rowOff>
    </xdr:to>
    <xdr:sp macro="" textlink="'Pivot table'!A4">
      <xdr:nvSpPr>
        <xdr:cNvPr id="3" name="Rectangle: Rounded Corners 2">
          <a:extLst>
            <a:ext uri="{FF2B5EF4-FFF2-40B4-BE49-F238E27FC236}">
              <a16:creationId xmlns:a16="http://schemas.microsoft.com/office/drawing/2014/main" id="{611C623D-7B25-2665-3B64-417DCAE4F354}"/>
            </a:ext>
          </a:extLst>
        </xdr:cNvPr>
        <xdr:cNvSpPr/>
      </xdr:nvSpPr>
      <xdr:spPr>
        <a:xfrm>
          <a:off x="2286000" y="1228725"/>
          <a:ext cx="1533525"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ADEBF2-A591-4E16-A68A-0C279485FE26}" type="TxLink">
            <a:rPr lang="en-US" sz="2000" b="1" i="0" u="none" strike="noStrike">
              <a:solidFill>
                <a:schemeClr val="bg1"/>
              </a:solidFill>
              <a:latin typeface="Aptos Narrow"/>
            </a:rPr>
            <a:t>91067</a:t>
          </a:fld>
          <a:endParaRPr lang="en-US" sz="4000" b="1">
            <a:solidFill>
              <a:schemeClr val="bg1"/>
            </a:solidFill>
          </a:endParaRPr>
        </a:p>
      </xdr:txBody>
    </xdr:sp>
    <xdr:clientData/>
  </xdr:twoCellAnchor>
  <xdr:twoCellAnchor>
    <xdr:from>
      <xdr:col>11</xdr:col>
      <xdr:colOff>387350</xdr:colOff>
      <xdr:row>6</xdr:row>
      <xdr:rowOff>69850</xdr:rowOff>
    </xdr:from>
    <xdr:to>
      <xdr:col>14</xdr:col>
      <xdr:colOff>92075</xdr:colOff>
      <xdr:row>8</xdr:row>
      <xdr:rowOff>184150</xdr:rowOff>
    </xdr:to>
    <xdr:sp macro="" textlink="'Pivot table'!B7">
      <xdr:nvSpPr>
        <xdr:cNvPr id="4" name="Rectangle: Rounded Corners 3">
          <a:extLst>
            <a:ext uri="{FF2B5EF4-FFF2-40B4-BE49-F238E27FC236}">
              <a16:creationId xmlns:a16="http://schemas.microsoft.com/office/drawing/2014/main" id="{0B73B012-7BE1-4465-B8FB-A54A59508339}"/>
            </a:ext>
          </a:extLst>
        </xdr:cNvPr>
        <xdr:cNvSpPr/>
      </xdr:nvSpPr>
      <xdr:spPr>
        <a:xfrm>
          <a:off x="6800850" y="1212850"/>
          <a:ext cx="1514475"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79C3A4-DB4A-4380-B348-A3E18E8B3872}" type="TxLink">
            <a:rPr lang="en-US" sz="2000" b="1" i="0" u="none" strike="noStrike">
              <a:solidFill>
                <a:schemeClr val="bg1"/>
              </a:solidFill>
              <a:latin typeface="Aptos Narrow"/>
            </a:rPr>
            <a:pPr algn="ctr"/>
            <a:t>143</a:t>
          </a:fld>
          <a:endParaRPr lang="en-US" sz="2000" b="1">
            <a:solidFill>
              <a:schemeClr val="bg1"/>
            </a:solidFill>
          </a:endParaRPr>
        </a:p>
      </xdr:txBody>
    </xdr:sp>
    <xdr:clientData/>
  </xdr:twoCellAnchor>
  <xdr:twoCellAnchor>
    <xdr:from>
      <xdr:col>15</xdr:col>
      <xdr:colOff>549275</xdr:colOff>
      <xdr:row>6</xdr:row>
      <xdr:rowOff>69850</xdr:rowOff>
    </xdr:from>
    <xdr:to>
      <xdr:col>18</xdr:col>
      <xdr:colOff>254000</xdr:colOff>
      <xdr:row>8</xdr:row>
      <xdr:rowOff>184150</xdr:rowOff>
    </xdr:to>
    <xdr:sp macro="" textlink="'Pivot table'!B12">
      <xdr:nvSpPr>
        <xdr:cNvPr id="5" name="Rectangle: Rounded Corners 4">
          <a:extLst>
            <a:ext uri="{FF2B5EF4-FFF2-40B4-BE49-F238E27FC236}">
              <a16:creationId xmlns:a16="http://schemas.microsoft.com/office/drawing/2014/main" id="{DDB4F627-F7E4-4432-9EA9-75A8CF035D9B}"/>
            </a:ext>
          </a:extLst>
        </xdr:cNvPr>
        <xdr:cNvSpPr/>
      </xdr:nvSpPr>
      <xdr:spPr>
        <a:xfrm>
          <a:off x="9375775" y="1212850"/>
          <a:ext cx="1514475"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878CD3-ED22-49B8-8737-729872C0C347}" type="TxLink">
            <a:rPr lang="en-US" sz="1600" b="1" i="0" u="none" strike="noStrike">
              <a:solidFill>
                <a:schemeClr val="bg1"/>
              </a:solidFill>
              <a:latin typeface="Aptos Narrow"/>
            </a:rPr>
            <a:pPr algn="ctr"/>
            <a:t>10119</a:t>
          </a:fld>
          <a:endParaRPr lang="en-US" sz="1600" b="1">
            <a:solidFill>
              <a:schemeClr val="bg1"/>
            </a:solidFill>
          </a:endParaRPr>
        </a:p>
      </xdr:txBody>
    </xdr:sp>
    <xdr:clientData/>
  </xdr:twoCellAnchor>
  <xdr:twoCellAnchor>
    <xdr:from>
      <xdr:col>19</xdr:col>
      <xdr:colOff>327025</xdr:colOff>
      <xdr:row>6</xdr:row>
      <xdr:rowOff>44450</xdr:rowOff>
    </xdr:from>
    <xdr:to>
      <xdr:col>22</xdr:col>
      <xdr:colOff>38100</xdr:colOff>
      <xdr:row>8</xdr:row>
      <xdr:rowOff>158750</xdr:rowOff>
    </xdr:to>
    <xdr:sp macro="" textlink="'Pivot table'!B4">
      <xdr:nvSpPr>
        <xdr:cNvPr id="6" name="Rectangle: Rounded Corners 5">
          <a:extLst>
            <a:ext uri="{FF2B5EF4-FFF2-40B4-BE49-F238E27FC236}">
              <a16:creationId xmlns:a16="http://schemas.microsoft.com/office/drawing/2014/main" id="{4A8324E4-96A3-4F1C-AC73-BC941ABCE518}"/>
            </a:ext>
          </a:extLst>
        </xdr:cNvPr>
        <xdr:cNvSpPr/>
      </xdr:nvSpPr>
      <xdr:spPr>
        <a:xfrm>
          <a:off x="11566525" y="1187450"/>
          <a:ext cx="1520825" cy="495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C67DC2-8C2D-4F35-AAD7-3F5640BED265}" type="TxLink">
            <a:rPr lang="en-US" sz="2000" b="1" i="0" u="none" strike="noStrike">
              <a:solidFill>
                <a:schemeClr val="bg1"/>
              </a:solidFill>
              <a:latin typeface="Aptos Narrow"/>
            </a:rPr>
            <a:pPr algn="ctr"/>
            <a:t>637</a:t>
          </a:fld>
          <a:endParaRPr lang="en-US" sz="2000" b="1">
            <a:solidFill>
              <a:schemeClr val="bg1"/>
            </a:solidFill>
          </a:endParaRPr>
        </a:p>
      </xdr:txBody>
    </xdr:sp>
    <xdr:clientData/>
  </xdr:twoCellAnchor>
  <xdr:twoCellAnchor>
    <xdr:from>
      <xdr:col>7</xdr:col>
      <xdr:colOff>390524</xdr:colOff>
      <xdr:row>4</xdr:row>
      <xdr:rowOff>47625</xdr:rowOff>
    </xdr:from>
    <xdr:to>
      <xdr:col>10</xdr:col>
      <xdr:colOff>304799</xdr:colOff>
      <xdr:row>5</xdr:row>
      <xdr:rowOff>114300</xdr:rowOff>
    </xdr:to>
    <xdr:sp macro="" textlink="">
      <xdr:nvSpPr>
        <xdr:cNvPr id="7" name="TextBox 6">
          <a:extLst>
            <a:ext uri="{FF2B5EF4-FFF2-40B4-BE49-F238E27FC236}">
              <a16:creationId xmlns:a16="http://schemas.microsoft.com/office/drawing/2014/main" id="{5648EC48-D7E9-3C24-0EA3-C3DFAB367FC4}"/>
            </a:ext>
          </a:extLst>
        </xdr:cNvPr>
        <xdr:cNvSpPr txBox="1"/>
      </xdr:nvSpPr>
      <xdr:spPr>
        <a:xfrm>
          <a:off x="2219324" y="809625"/>
          <a:ext cx="1743075" cy="257175"/>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TOTAL</a:t>
          </a:r>
          <a:r>
            <a:rPr lang="en-US" sz="1100" b="1" baseline="0">
              <a:solidFill>
                <a:schemeClr val="bg1"/>
              </a:solidFill>
            </a:rPr>
            <a:t> REVENUE</a:t>
          </a:r>
          <a:endParaRPr lang="en-US" sz="1100" b="1">
            <a:solidFill>
              <a:schemeClr val="bg1"/>
            </a:solidFill>
          </a:endParaRPr>
        </a:p>
      </xdr:txBody>
    </xdr:sp>
    <xdr:clientData/>
  </xdr:twoCellAnchor>
  <xdr:twoCellAnchor>
    <xdr:from>
      <xdr:col>11</xdr:col>
      <xdr:colOff>114299</xdr:colOff>
      <xdr:row>4</xdr:row>
      <xdr:rowOff>57150</xdr:rowOff>
    </xdr:from>
    <xdr:to>
      <xdr:col>14</xdr:col>
      <xdr:colOff>209550</xdr:colOff>
      <xdr:row>5</xdr:row>
      <xdr:rowOff>123825</xdr:rowOff>
    </xdr:to>
    <xdr:sp macro="" textlink="">
      <xdr:nvSpPr>
        <xdr:cNvPr id="9" name="TextBox 8">
          <a:extLst>
            <a:ext uri="{FF2B5EF4-FFF2-40B4-BE49-F238E27FC236}">
              <a16:creationId xmlns:a16="http://schemas.microsoft.com/office/drawing/2014/main" id="{AE3C85D8-404C-4EFF-9673-0A1D30B628B3}"/>
            </a:ext>
          </a:extLst>
        </xdr:cNvPr>
        <xdr:cNvSpPr txBox="1"/>
      </xdr:nvSpPr>
      <xdr:spPr>
        <a:xfrm>
          <a:off x="4381499" y="819150"/>
          <a:ext cx="1924051" cy="257175"/>
        </a:xfrm>
        <a:prstGeom prst="rect">
          <a:avLst/>
        </a:prstGeom>
        <a:solidFill>
          <a:srgbClr val="156082"/>
        </a:solidFill>
        <a:ln w="9525" cmpd="sng">
          <a:solidFill>
            <a:sysClr val="window" lastClr="FFFFFF">
              <a:shade val="50000"/>
            </a:sysClr>
          </a:solidFill>
        </a:ln>
        <a:effectLst/>
      </xdr:spPr>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Aptos Narrow" panose="02110004020202020204"/>
              <a:ea typeface="+mn-ea"/>
              <a:cs typeface="+mn-cs"/>
            </a:rPr>
            <a:t>NO OF COMPLETED JOBS</a:t>
          </a:r>
        </a:p>
      </xdr:txBody>
    </xdr:sp>
    <xdr:clientData/>
  </xdr:twoCellAnchor>
  <xdr:twoCellAnchor>
    <xdr:from>
      <xdr:col>15</xdr:col>
      <xdr:colOff>209550</xdr:colOff>
      <xdr:row>4</xdr:row>
      <xdr:rowOff>38100</xdr:rowOff>
    </xdr:from>
    <xdr:to>
      <xdr:col>18</xdr:col>
      <xdr:colOff>381000</xdr:colOff>
      <xdr:row>5</xdr:row>
      <xdr:rowOff>104775</xdr:rowOff>
    </xdr:to>
    <xdr:sp macro="" textlink="">
      <xdr:nvSpPr>
        <xdr:cNvPr id="11" name="TextBox 10">
          <a:extLst>
            <a:ext uri="{FF2B5EF4-FFF2-40B4-BE49-F238E27FC236}">
              <a16:creationId xmlns:a16="http://schemas.microsoft.com/office/drawing/2014/main" id="{4183DEB2-F61E-4D9C-9075-A552637DC366}"/>
            </a:ext>
          </a:extLst>
        </xdr:cNvPr>
        <xdr:cNvSpPr txBox="1"/>
      </xdr:nvSpPr>
      <xdr:spPr>
        <a:xfrm>
          <a:off x="6915150" y="800100"/>
          <a:ext cx="2000250" cy="257175"/>
        </a:xfrm>
        <a:prstGeom prst="rect">
          <a:avLst/>
        </a:prstGeom>
        <a:solidFill>
          <a:srgbClr val="156082"/>
        </a:solidFill>
        <a:ln w="9525" cmpd="sng">
          <a:solidFill>
            <a:sysClr val="window" lastClr="FFFFFF">
              <a:shade val="50000"/>
            </a:sysClr>
          </a:solidFill>
        </a:ln>
        <a:effectLst/>
      </xdr:spPr>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Aptos Narrow" panose="02110004020202020204"/>
              <a:ea typeface="+mn-ea"/>
              <a:cs typeface="+mn-cs"/>
            </a:rPr>
            <a:t>REVENUE PER SALES REP</a:t>
          </a:r>
        </a:p>
      </xdr:txBody>
    </xdr:sp>
    <xdr:clientData/>
  </xdr:twoCellAnchor>
  <xdr:twoCellAnchor>
    <xdr:from>
      <xdr:col>19</xdr:col>
      <xdr:colOff>95250</xdr:colOff>
      <xdr:row>4</xdr:row>
      <xdr:rowOff>19050</xdr:rowOff>
    </xdr:from>
    <xdr:to>
      <xdr:col>22</xdr:col>
      <xdr:colOff>333375</xdr:colOff>
      <xdr:row>5</xdr:row>
      <xdr:rowOff>85725</xdr:rowOff>
    </xdr:to>
    <xdr:sp macro="" textlink="">
      <xdr:nvSpPr>
        <xdr:cNvPr id="13" name="TextBox 12">
          <a:extLst>
            <a:ext uri="{FF2B5EF4-FFF2-40B4-BE49-F238E27FC236}">
              <a16:creationId xmlns:a16="http://schemas.microsoft.com/office/drawing/2014/main" id="{CCF26E84-06CD-40C6-A980-CCFB68502722}"/>
            </a:ext>
          </a:extLst>
        </xdr:cNvPr>
        <xdr:cNvSpPr txBox="1"/>
      </xdr:nvSpPr>
      <xdr:spPr>
        <a:xfrm>
          <a:off x="11449050" y="781050"/>
          <a:ext cx="2066925" cy="257175"/>
        </a:xfrm>
        <a:prstGeom prst="rect">
          <a:avLst/>
        </a:prstGeom>
        <a:solidFill>
          <a:srgbClr val="156082"/>
        </a:solidFill>
        <a:ln w="9525" cmpd="sng">
          <a:solidFill>
            <a:sysClr val="window" lastClr="FFFFFF">
              <a:shade val="50000"/>
            </a:sysClr>
          </a:solidFill>
        </a:ln>
        <a:effectLst/>
      </xdr:spPr>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 lastClr="FFFFFF"/>
              </a:solidFill>
              <a:effectLst/>
              <a:uLnTx/>
              <a:uFillTx/>
              <a:latin typeface="+mn-lt"/>
              <a:ea typeface="+mn-ea"/>
              <a:cs typeface="+mn-cs"/>
            </a:rPr>
            <a:t>AVERSAGE REVENUE PER JOBS</a:t>
          </a:r>
        </a:p>
      </xdr:txBody>
    </xdr:sp>
    <xdr:clientData/>
  </xdr:twoCellAnchor>
  <xdr:twoCellAnchor>
    <xdr:from>
      <xdr:col>7</xdr:col>
      <xdr:colOff>361950</xdr:colOff>
      <xdr:row>10</xdr:row>
      <xdr:rowOff>85725</xdr:rowOff>
    </xdr:from>
    <xdr:to>
      <xdr:col>15</xdr:col>
      <xdr:colOff>57150</xdr:colOff>
      <xdr:row>24</xdr:row>
      <xdr:rowOff>161925</xdr:rowOff>
    </xdr:to>
    <xdr:graphicFrame macro="">
      <xdr:nvGraphicFramePr>
        <xdr:cNvPr id="14" name="Chart 13">
          <a:extLst>
            <a:ext uri="{FF2B5EF4-FFF2-40B4-BE49-F238E27FC236}">
              <a16:creationId xmlns:a16="http://schemas.microsoft.com/office/drawing/2014/main" id="{52A4DF07-A7DB-4276-B804-BD2B88E0E7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257175</xdr:colOff>
      <xdr:row>10</xdr:row>
      <xdr:rowOff>95250</xdr:rowOff>
    </xdr:from>
    <xdr:to>
      <xdr:col>22</xdr:col>
      <xdr:colOff>561975</xdr:colOff>
      <xdr:row>24</xdr:row>
      <xdr:rowOff>171450</xdr:rowOff>
    </xdr:to>
    <xdr:graphicFrame macro="">
      <xdr:nvGraphicFramePr>
        <xdr:cNvPr id="15" name="Chart 14">
          <a:extLst>
            <a:ext uri="{FF2B5EF4-FFF2-40B4-BE49-F238E27FC236}">
              <a16:creationId xmlns:a16="http://schemas.microsoft.com/office/drawing/2014/main" id="{87F196D0-A9F3-4C36-A05C-547A90A2E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381000</xdr:colOff>
      <xdr:row>25</xdr:row>
      <xdr:rowOff>114300</xdr:rowOff>
    </xdr:from>
    <xdr:to>
      <xdr:col>15</xdr:col>
      <xdr:colOff>76200</xdr:colOff>
      <xdr:row>40</xdr:row>
      <xdr:rowOff>0</xdr:rowOff>
    </xdr:to>
    <xdr:graphicFrame macro="">
      <xdr:nvGraphicFramePr>
        <xdr:cNvPr id="16" name="Chart 15">
          <a:extLst>
            <a:ext uri="{FF2B5EF4-FFF2-40B4-BE49-F238E27FC236}">
              <a16:creationId xmlns:a16="http://schemas.microsoft.com/office/drawing/2014/main" id="{32B77A76-3A8D-432D-B7CE-D2409FC32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285750</xdr:colOff>
      <xdr:row>25</xdr:row>
      <xdr:rowOff>133350</xdr:rowOff>
    </xdr:from>
    <xdr:to>
      <xdr:col>22</xdr:col>
      <xdr:colOff>590550</xdr:colOff>
      <xdr:row>40</xdr:row>
      <xdr:rowOff>19050</xdr:rowOff>
    </xdr:to>
    <xdr:graphicFrame macro="">
      <xdr:nvGraphicFramePr>
        <xdr:cNvPr id="17" name="Chart 16">
          <a:extLst>
            <a:ext uri="{FF2B5EF4-FFF2-40B4-BE49-F238E27FC236}">
              <a16:creationId xmlns:a16="http://schemas.microsoft.com/office/drawing/2014/main" id="{F9796159-AC9C-41EE-9140-DF5FF5AEE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257175</xdr:colOff>
      <xdr:row>41</xdr:row>
      <xdr:rowOff>0</xdr:rowOff>
    </xdr:from>
    <xdr:to>
      <xdr:col>22</xdr:col>
      <xdr:colOff>561975</xdr:colOff>
      <xdr:row>55</xdr:row>
      <xdr:rowOff>76200</xdr:rowOff>
    </xdr:to>
    <xdr:graphicFrame macro="">
      <xdr:nvGraphicFramePr>
        <xdr:cNvPr id="18" name="Chart 17">
          <a:extLst>
            <a:ext uri="{FF2B5EF4-FFF2-40B4-BE49-F238E27FC236}">
              <a16:creationId xmlns:a16="http://schemas.microsoft.com/office/drawing/2014/main" id="{193354CF-88D2-4D40-9BA6-5C3C2CCAE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409575</xdr:colOff>
      <xdr:row>41</xdr:row>
      <xdr:rowOff>9525</xdr:rowOff>
    </xdr:from>
    <xdr:to>
      <xdr:col>15</xdr:col>
      <xdr:colOff>104775</xdr:colOff>
      <xdr:row>55</xdr:row>
      <xdr:rowOff>85725</xdr:rowOff>
    </xdr:to>
    <xdr:graphicFrame macro="">
      <xdr:nvGraphicFramePr>
        <xdr:cNvPr id="19" name="Chart 18">
          <a:extLst>
            <a:ext uri="{FF2B5EF4-FFF2-40B4-BE49-F238E27FC236}">
              <a16:creationId xmlns:a16="http://schemas.microsoft.com/office/drawing/2014/main" id="{BA8B0073-47B1-4026-B5AD-6D5001542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152400</xdr:colOff>
      <xdr:row>11</xdr:row>
      <xdr:rowOff>66675</xdr:rowOff>
    </xdr:from>
    <xdr:to>
      <xdr:col>7</xdr:col>
      <xdr:colOff>152400</xdr:colOff>
      <xdr:row>26</xdr:row>
      <xdr:rowOff>161925</xdr:rowOff>
    </xdr:to>
    <mc:AlternateContent xmlns:mc="http://schemas.openxmlformats.org/markup-compatibility/2006">
      <mc:Choice xmlns:a14="http://schemas.microsoft.com/office/drawing/2010/main" Requires="a14">
        <xdr:graphicFrame macro="">
          <xdr:nvGraphicFramePr>
            <xdr:cNvPr id="20" name="JobType">
              <a:extLst>
                <a:ext uri="{FF2B5EF4-FFF2-40B4-BE49-F238E27FC236}">
                  <a16:creationId xmlns:a16="http://schemas.microsoft.com/office/drawing/2014/main" id="{9602A19E-E29F-DD88-456A-D35A8013A2B6}"/>
                </a:ext>
              </a:extLst>
            </xdr:cNvPr>
            <xdr:cNvGraphicFramePr/>
          </xdr:nvGraphicFramePr>
          <xdr:xfrm>
            <a:off x="0" y="0"/>
            <a:ext cx="0" cy="0"/>
          </xdr:xfrm>
          <a:graphic>
            <a:graphicData uri="http://schemas.microsoft.com/office/drawing/2010/slicer">
              <sle:slicer xmlns:sle="http://schemas.microsoft.com/office/drawing/2010/slicer" name="JobType"/>
            </a:graphicData>
          </a:graphic>
        </xdr:graphicFrame>
      </mc:Choice>
      <mc:Fallback>
        <xdr:sp macro="" textlink="">
          <xdr:nvSpPr>
            <xdr:cNvPr id="0" name=""/>
            <xdr:cNvSpPr>
              <a:spLocks noTextEdit="1"/>
            </xdr:cNvSpPr>
          </xdr:nvSpPr>
          <xdr:spPr>
            <a:xfrm>
              <a:off x="2343150" y="2162175"/>
              <a:ext cx="1809750" cy="295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209549</xdr:colOff>
      <xdr:row>12</xdr:row>
      <xdr:rowOff>47624</xdr:rowOff>
    </xdr:from>
    <xdr:to>
      <xdr:col>4</xdr:col>
      <xdr:colOff>85724</xdr:colOff>
      <xdr:row>17</xdr:row>
      <xdr:rowOff>133349</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34B0705A-684B-12CC-00BD-B45693A27B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0549" y="2333624"/>
              <a:ext cx="1685925"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200025</xdr:colOff>
      <xdr:row>3</xdr:row>
      <xdr:rowOff>133350</xdr:rowOff>
    </xdr:from>
    <xdr:to>
      <xdr:col>7</xdr:col>
      <xdr:colOff>142875</xdr:colOff>
      <xdr:row>10</xdr:row>
      <xdr:rowOff>171450</xdr:rowOff>
    </xdr:to>
    <mc:AlternateContent xmlns:mc="http://schemas.openxmlformats.org/markup-compatibility/2006">
      <mc:Choice xmlns:tsle="http://schemas.microsoft.com/office/drawing/2012/timeslicer" Requires="tsle">
        <xdr:graphicFrame macro="">
          <xdr:nvGraphicFramePr>
            <xdr:cNvPr id="23" name="EstDateTimeStart">
              <a:extLst>
                <a:ext uri="{FF2B5EF4-FFF2-40B4-BE49-F238E27FC236}">
                  <a16:creationId xmlns:a16="http://schemas.microsoft.com/office/drawing/2014/main" id="{E3307548-E60E-A8A6-5F70-C5F526B4954F}"/>
                </a:ext>
              </a:extLst>
            </xdr:cNvPr>
            <xdr:cNvGraphicFramePr/>
          </xdr:nvGraphicFramePr>
          <xdr:xfrm>
            <a:off x="0" y="0"/>
            <a:ext cx="0" cy="0"/>
          </xdr:xfrm>
          <a:graphic>
            <a:graphicData uri="http://schemas.microsoft.com/office/drawing/2012/timeslicer">
              <tsle:timeslicer xmlns:tsle="http://schemas.microsoft.com/office/drawing/2012/timeslicer" name="EstDateTimeStart"/>
            </a:graphicData>
          </a:graphic>
        </xdr:graphicFrame>
      </mc:Choice>
      <mc:Fallback>
        <xdr:sp macro="" textlink="">
          <xdr:nvSpPr>
            <xdr:cNvPr id="0" name=""/>
            <xdr:cNvSpPr>
              <a:spLocks noTextEdit="1"/>
            </xdr:cNvSpPr>
          </xdr:nvSpPr>
          <xdr:spPr>
            <a:xfrm>
              <a:off x="581025" y="704850"/>
              <a:ext cx="35623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23</xdr:col>
      <xdr:colOff>462643</xdr:colOff>
      <xdr:row>10</xdr:row>
      <xdr:rowOff>54428</xdr:rowOff>
    </xdr:from>
    <xdr:to>
      <xdr:col>30</xdr:col>
      <xdr:colOff>408215</xdr:colOff>
      <xdr:row>55</xdr:row>
      <xdr:rowOff>95250</xdr:rowOff>
    </xdr:to>
    <xdr:sp macro="" textlink="">
      <xdr:nvSpPr>
        <xdr:cNvPr id="25" name="TextBox 24">
          <a:extLst>
            <a:ext uri="{FF2B5EF4-FFF2-40B4-BE49-F238E27FC236}">
              <a16:creationId xmlns:a16="http://schemas.microsoft.com/office/drawing/2014/main" id="{31A71F6E-939E-8107-7AFB-2DFE2FB53163}"/>
            </a:ext>
          </a:extLst>
        </xdr:cNvPr>
        <xdr:cNvSpPr txBox="1"/>
      </xdr:nvSpPr>
      <xdr:spPr>
        <a:xfrm>
          <a:off x="14314714" y="1959428"/>
          <a:ext cx="4231822" cy="8613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800" b="1">
            <a:solidFill>
              <a:schemeClr val="accent1"/>
            </a:solidFill>
          </a:endParaRPr>
        </a:p>
        <a:p>
          <a:r>
            <a:rPr lang="en-US" sz="1800" b="1">
              <a:solidFill>
                <a:schemeClr val="accent1"/>
              </a:solidFill>
            </a:rPr>
            <a:t>              KEY INSIGHT</a:t>
          </a:r>
        </a:p>
        <a:p>
          <a:r>
            <a:rPr lang="en-US" sz="1800" b="1">
              <a:solidFill>
                <a:schemeClr val="accent1"/>
              </a:solidFill>
            </a:rPr>
            <a:t>-Ottawa</a:t>
          </a:r>
          <a:r>
            <a:rPr lang="en-US" sz="1800" b="1" baseline="0">
              <a:solidFill>
                <a:schemeClr val="accent1"/>
              </a:solidFill>
            </a:rPr>
            <a:t> is the top perfroming region.</a:t>
          </a:r>
        </a:p>
        <a:p>
          <a:r>
            <a:rPr lang="en-US" sz="1800" b="1" baseline="0">
              <a:solidFill>
                <a:schemeClr val="accent1"/>
              </a:solidFill>
            </a:rPr>
            <a:t>-Devin James is the top sales rep.</a:t>
          </a:r>
        </a:p>
        <a:p>
          <a:r>
            <a:rPr lang="en-US" sz="1800" b="1" baseline="0">
              <a:solidFill>
                <a:schemeClr val="accent1"/>
              </a:solidFill>
            </a:rPr>
            <a:t>-Monday  often had the most revenue.</a:t>
          </a:r>
        </a:p>
        <a:p>
          <a:r>
            <a:rPr lang="en-US" sz="1800" b="1">
              <a:solidFill>
                <a:schemeClr val="accent1"/>
              </a:solidFill>
            </a:rPr>
            <a:t>-Highest no. completed jobs was on July 15,2025.</a:t>
          </a:r>
        </a:p>
        <a:p>
          <a:r>
            <a:rPr lang="en-US" sz="1800" b="1">
              <a:solidFill>
                <a:schemeClr val="accent1"/>
              </a:solidFill>
            </a:rPr>
            <a:t>-low performing Sales Reps are  Ava.Leblanc@1Cleanair.Ca Merry Doris John Doe Mark Anderson .</a:t>
          </a:r>
        </a:p>
        <a:p>
          <a:r>
            <a:rPr lang="en-US" sz="1800" b="1">
              <a:solidFill>
                <a:schemeClr val="accent1"/>
              </a:solidFill>
            </a:rPr>
            <a:t>-July 21, 2025 had the most revenue.</a:t>
          </a:r>
          <a:br>
            <a:rPr lang="en-US" sz="1800" b="1">
              <a:solidFill>
                <a:schemeClr val="accent1"/>
              </a:solidFill>
            </a:rPr>
          </a:br>
          <a:br>
            <a:rPr lang="en-US" sz="1800" b="1">
              <a:solidFill>
                <a:schemeClr val="accent1"/>
              </a:solidFill>
            </a:rPr>
          </a:br>
          <a:r>
            <a:rPr lang="en-US" sz="1800" b="1">
              <a:solidFill>
                <a:schemeClr val="accent1"/>
              </a:solidFill>
            </a:rPr>
            <a:t>      RECOMMENDATIONS</a:t>
          </a:r>
        </a:p>
        <a:p>
          <a:r>
            <a:rPr lang="en-US" sz="1800" b="1">
              <a:solidFill>
                <a:schemeClr val="accent1"/>
              </a:solidFill>
            </a:rPr>
            <a:t>-Top 3 sales</a:t>
          </a:r>
          <a:r>
            <a:rPr lang="en-US" sz="1800" b="1" baseline="0">
              <a:solidFill>
                <a:schemeClr val="accent1"/>
              </a:solidFill>
            </a:rPr>
            <a:t> reps should be well compensated and rewarded via bonus in order to motivate low performing sales reps.</a:t>
          </a:r>
        </a:p>
        <a:p>
          <a:endParaRPr lang="en-US" sz="1800" b="1" baseline="0">
            <a:solidFill>
              <a:schemeClr val="accent1"/>
            </a:solidFill>
          </a:endParaRPr>
        </a:p>
        <a:p>
          <a:r>
            <a:rPr lang="en-US" sz="1800" b="1" baseline="0">
              <a:solidFill>
                <a:schemeClr val="accent1"/>
              </a:solidFill>
            </a:rPr>
            <a:t>- Marketing efforts should be directed more to ottawa on dates/days with high likelihood of getting more jobs  in order to maximize revenue.</a:t>
          </a:r>
        </a:p>
        <a:p>
          <a:endParaRPr lang="en-US" sz="1800" b="1" baseline="0">
            <a:solidFill>
              <a:schemeClr val="accent1"/>
            </a:solidFill>
          </a:endParaRPr>
        </a:p>
        <a:p>
          <a:r>
            <a:rPr lang="en-US" sz="1800" b="1" baseline="0">
              <a:solidFill>
                <a:schemeClr val="accent1"/>
              </a:solidFill>
            </a:rPr>
            <a:t>- Tecnicians with low request due to their job type should be trained on how to perform high-demanding job types(commercial work, air duct,e.t.c) in order to support their colleagues and increase efficiency.</a:t>
          </a:r>
        </a:p>
      </xdr:txBody>
    </xdr:sp>
    <xdr:clientData/>
  </xdr:twoCellAnchor>
  <xdr:twoCellAnchor editAs="oneCell">
    <xdr:from>
      <xdr:col>23</xdr:col>
      <xdr:colOff>517071</xdr:colOff>
      <xdr:row>10</xdr:row>
      <xdr:rowOff>108857</xdr:rowOff>
    </xdr:from>
    <xdr:to>
      <xdr:col>24</xdr:col>
      <xdr:colOff>435428</xdr:colOff>
      <xdr:row>13</xdr:row>
      <xdr:rowOff>68036</xdr:rowOff>
    </xdr:to>
    <xdr:pic>
      <xdr:nvPicPr>
        <xdr:cNvPr id="26" name="Picture 25" descr="Lightbulb with solid fill">
          <a:extLst>
            <a:ext uri="{FF2B5EF4-FFF2-40B4-BE49-F238E27FC236}">
              <a16:creationId xmlns:a16="http://schemas.microsoft.com/office/drawing/2014/main" id="{F0C36044-63B7-BA5D-DAC0-BA1C4A6837B7}"/>
            </a:ext>
          </a:extLst>
        </xdr:cNvPr>
        <xdr:cNvPicPr>
          <a:picLocks noChangeAspect="1"/>
        </xdr:cNvPicPr>
      </xdr:nvPicPr>
      <xdr:blipFill>
        <a:blip xmlns:r="http://schemas.openxmlformats.org/officeDocument/2006/relationships" r:embed="rId7"/>
        <a:stretch>
          <a:fillRect/>
        </a:stretch>
      </xdr:blipFill>
      <xdr:spPr>
        <a:xfrm>
          <a:off x="14369142" y="2013857"/>
          <a:ext cx="530679" cy="53067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06993981484" backgroundQuery="1" createdVersion="8" refreshedVersion="8" minRefreshableVersion="3" recordCount="0" supportSubquery="1" supportAdvancedDrill="1" xr:uid="{BD5EF8C4-92A8-4E10-AE92-D806AA60B902}">
  <cacheSource type="external" connectionId="3"/>
  <cacheFields count="2">
    <cacheField name="[Measures].[Sum of SubTotal]" caption="Sum of SubTotal" numFmtId="0" hierarchy="22" level="32767"/>
    <cacheField name="[Data_Tracking___Test_file__1].[JobType].[JobType]" caption="JobType" numFmtId="0" hierarchy="3" level="1">
      <sharedItems count="12">
        <s v="Air Duct"/>
        <s v="Commercial Estimate"/>
        <s v="Commercial Work"/>
        <s v="Dryer Vent"/>
        <s v="Duct &amp; Dryer"/>
        <s v="Joseph Air Duct"/>
        <s v="OTTAWA DUCT"/>
        <s v="Portable Dryer"/>
        <s v="Portable Duct"/>
        <s v="Repair Install Dryer"/>
        <s v="Rework"/>
        <s v="Work"/>
      </sharedItems>
    </cacheField>
  </cacheFields>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0" memberValueDatatype="7" unbalanced="0"/>
    <cacheHierarchy uniqueName="[Data_Tracking___Test_file__1].[Month]" caption="Month" attribute="1" defaultMemberUniqueName="[Data_Tracking___Test_file__1].[Month].[All]" allUniqueName="[Data_Tracking___Test_file__1].[Month].[All]" dimensionUniqueName="[Data_Tracking___Test_file__1]" displayFolder="" count="0"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0" memberValueDatatype="130" unbalanced="0"/>
    <cacheHierarchy uniqueName="[Data_Tracking___Test_file__1].[JobType]" caption="JobType" attribute="1" defaultMemberUniqueName="[Data_Tracking___Test_file__1].[JobType].[All]" allUniqueName="[Data_Tracking___Test_file__1].[JobType].[All]" dimensionUniqueName="[Data_Tracking___Test_file__1]" displayFolder="" count="2" memberValueDatatype="130" unbalanced="0">
      <fieldsUsage count="2">
        <fieldUsage x="-1"/>
        <fieldUsage x="1"/>
      </fieldsUsage>
    </cacheHierarchy>
    <cacheHierarchy uniqueName="[Data_Tracking___Test_file__1].[JobStatus]" caption="JobStatus" attribute="1" defaultMemberUniqueName="[Data_Tracking___Test_file__1].[JobStatus].[All]" allUniqueName="[Data_Tracking___Test_file__1].[JobStatus].[All]" dimensionUniqueName="[Data_Tracking___Test_file__1]" displayFolder="" count="0" memberValueDatatype="130" unbalanced="0"/>
    <cacheHierarchy uniqueName="[Data_Tracking___Test_file__1].[CreatedBy]" caption="CreatedBy" attribute="1" defaultMemberUniqueName="[Data_Tracking___Test_file__1].[CreatedBy].[All]" allUniqueName="[Data_Tracking___Test_file__1].[CreatedBy].[All]" dimensionUniqueName="[Data_Tracking___Test_file__1]" displayFolder="" count="0" memberValueDatatype="130" unbalanced="0"/>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0"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0"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0"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0"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0" memberValueDatatype="130" unbalanced="0"/>
    <cacheHierarchy uniqueName="[Data_Tracking___Test_file__1].[Zip]" caption="Zip" attribute="1" defaultMemberUniqueName="[Data_Tracking___Test_file__1].[Zip].[All]" allUniqueName="[Data_Tracking___Test_file__1].[Zip].[All]" dimensionUniqueName="[Data_Tracking___Test_file__1]" displayFolder="" count="0"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0"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0"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0"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0"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0" memberValueDatatype="130" unbalanced="0"/>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0" memberValueDatatype="130" unbalanced="0"/>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0"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0"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hidden="1">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hidden="1">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hidden="1">
      <extLst>
        <ext xmlns:x15="http://schemas.microsoft.com/office/spreadsheetml/2010/11/main" uri="{B97F6D7D-B522-45F9-BDA1-12C45D357490}">
          <x15:cacheHierarchy aggregatedColumn="15"/>
        </ext>
      </extLst>
    </cacheHierarchy>
  </cacheHierarchies>
  <kpis count="0"/>
  <dimensions count="2">
    <dimension name="Data_Tracking___Test_file__1" uniqueName="[Data_Tracking___Test_file__1]" caption="Data_Tracking___Test_file__1"/>
    <dimension measure="1" name="Measures" uniqueName="[Measures]" caption="Measures"/>
  </dimensions>
  <measureGroups count="1">
    <measureGroup name="Data_Tracking___Test_file__1" caption="Data_Tracking___Test_file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06995601855" backgroundQuery="1" createdVersion="8" refreshedVersion="8" minRefreshableVersion="3" recordCount="0" supportSubquery="1" supportAdvancedDrill="1" xr:uid="{F12FEAE3-EBBD-4553-A04F-DCBAC0F2B549}">
  <cacheSource type="external" connectionId="3"/>
  <cacheFields count="1">
    <cacheField name="[Measures].[Sum of SubTotal]" caption="Sum of SubTotal" numFmtId="0" hierarchy="22" level="32767"/>
  </cacheFields>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0" memberValueDatatype="7" unbalanced="0"/>
    <cacheHierarchy uniqueName="[Data_Tracking___Test_file__1].[Month]" caption="Month" attribute="1" defaultMemberUniqueName="[Data_Tracking___Test_file__1].[Month].[All]" allUniqueName="[Data_Tracking___Test_file__1].[Month].[All]" dimensionUniqueName="[Data_Tracking___Test_file__1]" displayFolder="" count="0"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0" memberValueDatatype="130" unbalanced="0"/>
    <cacheHierarchy uniqueName="[Data_Tracking___Test_file__1].[JobType]" caption="JobType" attribute="1" defaultMemberUniqueName="[Data_Tracking___Test_file__1].[JobType].[All]" allUniqueName="[Data_Tracking___Test_file__1].[JobType].[All]" dimensionUniqueName="[Data_Tracking___Test_file__1]" displayFolder="" count="0" memberValueDatatype="130" unbalanced="0"/>
    <cacheHierarchy uniqueName="[Data_Tracking___Test_file__1].[JobStatus]" caption="JobStatus" attribute="1" defaultMemberUniqueName="[Data_Tracking___Test_file__1].[JobStatus].[All]" allUniqueName="[Data_Tracking___Test_file__1].[JobStatus].[All]" dimensionUniqueName="[Data_Tracking___Test_file__1]" displayFolder="" count="0" memberValueDatatype="130" unbalanced="0"/>
    <cacheHierarchy uniqueName="[Data_Tracking___Test_file__1].[CreatedBy]" caption="CreatedBy" attribute="1" defaultMemberUniqueName="[Data_Tracking___Test_file__1].[CreatedBy].[All]" allUniqueName="[Data_Tracking___Test_file__1].[CreatedBy].[All]" dimensionUniqueName="[Data_Tracking___Test_file__1]" displayFolder="" count="0" memberValueDatatype="130" unbalanced="0"/>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0"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0"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0"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0"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0" memberValueDatatype="130" unbalanced="0"/>
    <cacheHierarchy uniqueName="[Data_Tracking___Test_file__1].[Zip]" caption="Zip" attribute="1" defaultMemberUniqueName="[Data_Tracking___Test_file__1].[Zip].[All]" allUniqueName="[Data_Tracking___Test_file__1].[Zip].[All]" dimensionUniqueName="[Data_Tracking___Test_file__1]" displayFolder="" count="0"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0"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0"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0"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0"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0" memberValueDatatype="130" unbalanced="0"/>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0" memberValueDatatype="130" unbalanced="0"/>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0"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0"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hidden="1">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hidden="1">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hidden="1">
      <extLst>
        <ext xmlns:x15="http://schemas.microsoft.com/office/spreadsheetml/2010/11/main" uri="{B97F6D7D-B522-45F9-BDA1-12C45D357490}">
          <x15:cacheHierarchy aggregatedColumn="15"/>
        </ext>
      </extLst>
    </cacheHierarchy>
  </cacheHierarchies>
  <kpis count="0"/>
  <dimensions count="2">
    <dimension name="Data_Tracking___Test_file__1" uniqueName="[Data_Tracking___Test_file__1]" caption="Data_Tracking___Test_file__1"/>
    <dimension measure="1" name="Measures" uniqueName="[Measures]" caption="Measures"/>
  </dimensions>
  <measureGroups count="1">
    <measureGroup name="Data_Tracking___Test_file__1" caption="Data_Tracking___Test_file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06997222225" backgroundQuery="1" createdVersion="8" refreshedVersion="8" minRefreshableVersion="3" recordCount="0" supportSubquery="1" supportAdvancedDrill="1" xr:uid="{94C08F0E-E880-41F4-8E4D-0CF29DEBA459}">
  <cacheSource type="external" connectionId="3"/>
  <cacheFields count="2">
    <cacheField name="[Data_Tracking___Test_file__1].[JobStatus].[JobStatus]" caption="JobStatus" numFmtId="0" hierarchy="4" level="1">
      <sharedItems count="1">
        <s v="Complete"/>
      </sharedItems>
    </cacheField>
    <cacheField name="[Measures].[Count of JobStatus]" caption="Count of JobStatus" numFmtId="0" hierarchy="24" level="32767"/>
  </cacheFields>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0" memberValueDatatype="7" unbalanced="0"/>
    <cacheHierarchy uniqueName="[Data_Tracking___Test_file__1].[Month]" caption="Month" attribute="1" defaultMemberUniqueName="[Data_Tracking___Test_file__1].[Month].[All]" allUniqueName="[Data_Tracking___Test_file__1].[Month].[All]" dimensionUniqueName="[Data_Tracking___Test_file__1]" displayFolder="" count="0"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0" memberValueDatatype="130" unbalanced="0"/>
    <cacheHierarchy uniqueName="[Data_Tracking___Test_file__1].[JobType]" caption="JobType" attribute="1" defaultMemberUniqueName="[Data_Tracking___Test_file__1].[JobType].[All]" allUniqueName="[Data_Tracking___Test_file__1].[JobType].[All]" dimensionUniqueName="[Data_Tracking___Test_file__1]" displayFolder="" count="0" memberValueDatatype="130" unbalanced="0"/>
    <cacheHierarchy uniqueName="[Data_Tracking___Test_file__1].[JobStatus]" caption="JobStatus" attribute="1" defaultMemberUniqueName="[Data_Tracking___Test_file__1].[JobStatus].[All]" allUniqueName="[Data_Tracking___Test_file__1].[JobStatus].[All]" dimensionUniqueName="[Data_Tracking___Test_file__1]" displayFolder="" count="2" memberValueDatatype="130" unbalanced="0">
      <fieldsUsage count="2">
        <fieldUsage x="-1"/>
        <fieldUsage x="0"/>
      </fieldsUsage>
    </cacheHierarchy>
    <cacheHierarchy uniqueName="[Data_Tracking___Test_file__1].[CreatedBy]" caption="CreatedBy" attribute="1" defaultMemberUniqueName="[Data_Tracking___Test_file__1].[CreatedBy].[All]" allUniqueName="[Data_Tracking___Test_file__1].[CreatedBy].[All]" dimensionUniqueName="[Data_Tracking___Test_file__1]" displayFolder="" count="0" memberValueDatatype="130" unbalanced="0"/>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0"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0"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0"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0"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0" memberValueDatatype="130" unbalanced="0"/>
    <cacheHierarchy uniqueName="[Data_Tracking___Test_file__1].[Zip]" caption="Zip" attribute="1" defaultMemberUniqueName="[Data_Tracking___Test_file__1].[Zip].[All]" allUniqueName="[Data_Tracking___Test_file__1].[Zip].[All]" dimensionUniqueName="[Data_Tracking___Test_file__1]" displayFolder="" count="0"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0"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0"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0"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0"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0" memberValueDatatype="130" unbalanced="0"/>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0" memberValueDatatype="130" unbalanced="0"/>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0"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0"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hidden="1">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oneField="1" hidden="1">
      <fieldsUsage count="1">
        <fieldUsage x="1"/>
      </fieldsUsage>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hidden="1">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hidden="1">
      <extLst>
        <ext xmlns:x15="http://schemas.microsoft.com/office/spreadsheetml/2010/11/main" uri="{B97F6D7D-B522-45F9-BDA1-12C45D357490}">
          <x15:cacheHierarchy aggregatedColumn="15"/>
        </ext>
      </extLst>
    </cacheHierarchy>
  </cacheHierarchies>
  <kpis count="0"/>
  <dimensions count="2">
    <dimension name="Data_Tracking___Test_file__1" uniqueName="[Data_Tracking___Test_file__1]" caption="Data_Tracking___Test_file__1"/>
    <dimension measure="1" name="Measures" uniqueName="[Measures]" caption="Measures"/>
  </dimensions>
  <measureGroups count="1">
    <measureGroup name="Data_Tracking___Test_file__1" caption="Data_Tracking___Test_file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06998958334" backgroundQuery="1" createdVersion="8" refreshedVersion="8" minRefreshableVersion="3" recordCount="0" supportSubquery="1" supportAdvancedDrill="1" xr:uid="{BED7FFC2-9E55-43DB-87E5-AA5BE96A58AF}">
  <cacheSource type="external" connectionId="3"/>
  <cacheFields count="2">
    <cacheField name="[Measures].[Distinct Count of CreatedBy]" caption="Distinct Count of CreatedBy" numFmtId="0" hierarchy="25" level="32767"/>
    <cacheField name="[Measures].[Sum of SubTotal]" caption="Sum of SubTotal" numFmtId="0" hierarchy="22" level="32767"/>
  </cacheFields>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0" memberValueDatatype="7" unbalanced="0"/>
    <cacheHierarchy uniqueName="[Data_Tracking___Test_file__1].[Month]" caption="Month" attribute="1" defaultMemberUniqueName="[Data_Tracking___Test_file__1].[Month].[All]" allUniqueName="[Data_Tracking___Test_file__1].[Month].[All]" dimensionUniqueName="[Data_Tracking___Test_file__1]" displayFolder="" count="0"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0" memberValueDatatype="130" unbalanced="0"/>
    <cacheHierarchy uniqueName="[Data_Tracking___Test_file__1].[JobType]" caption="JobType" attribute="1" defaultMemberUniqueName="[Data_Tracking___Test_file__1].[JobType].[All]" allUniqueName="[Data_Tracking___Test_file__1].[JobType].[All]" dimensionUniqueName="[Data_Tracking___Test_file__1]" displayFolder="" count="0" memberValueDatatype="130" unbalanced="0"/>
    <cacheHierarchy uniqueName="[Data_Tracking___Test_file__1].[JobStatus]" caption="JobStatus" attribute="1" defaultMemberUniqueName="[Data_Tracking___Test_file__1].[JobStatus].[All]" allUniqueName="[Data_Tracking___Test_file__1].[JobStatus].[All]" dimensionUniqueName="[Data_Tracking___Test_file__1]" displayFolder="" count="0" memberValueDatatype="130" unbalanced="0"/>
    <cacheHierarchy uniqueName="[Data_Tracking___Test_file__1].[CreatedBy]" caption="CreatedBy" attribute="1" defaultMemberUniqueName="[Data_Tracking___Test_file__1].[CreatedBy].[All]" allUniqueName="[Data_Tracking___Test_file__1].[CreatedBy].[All]" dimensionUniqueName="[Data_Tracking___Test_file__1]" displayFolder="" count="0" memberValueDatatype="130" unbalanced="0"/>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0"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0"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0"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0"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0" memberValueDatatype="130" unbalanced="0"/>
    <cacheHierarchy uniqueName="[Data_Tracking___Test_file__1].[Zip]" caption="Zip" attribute="1" defaultMemberUniqueName="[Data_Tracking___Test_file__1].[Zip].[All]" allUniqueName="[Data_Tracking___Test_file__1].[Zip].[All]" dimensionUniqueName="[Data_Tracking___Test_file__1]" displayFolder="" count="0"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0"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0"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0"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0"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0" memberValueDatatype="130" unbalanced="0"/>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0" memberValueDatatype="130" unbalanced="0"/>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0"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0"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hidden="1">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hidden="1">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hidden="1">
      <extLst>
        <ext xmlns:x15="http://schemas.microsoft.com/office/spreadsheetml/2010/11/main" uri="{B97F6D7D-B522-45F9-BDA1-12C45D357490}">
          <x15:cacheHierarchy aggregatedColumn="15"/>
        </ext>
      </extLst>
    </cacheHierarchy>
  </cacheHierarchies>
  <kpis count="0"/>
  <dimensions count="2">
    <dimension name="Data_Tracking___Test_file__1" uniqueName="[Data_Tracking___Test_file__1]" caption="Data_Tracking___Test_file__1"/>
    <dimension measure="1" name="Measures" uniqueName="[Measures]" caption="Measures"/>
  </dimensions>
  <measureGroups count="1">
    <measureGroup name="Data_Tracking___Test_file__1" caption="Data_Tracking___Test_file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07002546298" backgroundQuery="1" createdVersion="8" refreshedVersion="8" minRefreshableVersion="3" recordCount="0" supportSubquery="1" supportAdvancedDrill="1" xr:uid="{860A211C-E1D3-4F8E-AB3D-8E13BC16A151}">
  <cacheSource type="external" connectionId="3"/>
  <cacheFields count="2">
    <cacheField name="[Measures].[Sum of SubTotal]" caption="Sum of SubTotal" numFmtId="0" hierarchy="22" level="32767"/>
    <cacheField name="[Data_Tracking___Test_file__1].[Region].[Region]" caption="Region" numFmtId="0" hierarchy="10" level="1">
      <sharedItems count="2">
        <s v="Kingston"/>
        <s v="Ottawa"/>
      </sharedItems>
    </cacheField>
  </cacheFields>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0" memberValueDatatype="7" unbalanced="0"/>
    <cacheHierarchy uniqueName="[Data_Tracking___Test_file__1].[Month]" caption="Month" attribute="1" defaultMemberUniqueName="[Data_Tracking___Test_file__1].[Month].[All]" allUniqueName="[Data_Tracking___Test_file__1].[Month].[All]" dimensionUniqueName="[Data_Tracking___Test_file__1]" displayFolder="" count="0"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0" memberValueDatatype="130" unbalanced="0"/>
    <cacheHierarchy uniqueName="[Data_Tracking___Test_file__1].[JobType]" caption="JobType" attribute="1" defaultMemberUniqueName="[Data_Tracking___Test_file__1].[JobType].[All]" allUniqueName="[Data_Tracking___Test_file__1].[JobType].[All]" dimensionUniqueName="[Data_Tracking___Test_file__1]" displayFolder="" count="0" memberValueDatatype="130" unbalanced="0"/>
    <cacheHierarchy uniqueName="[Data_Tracking___Test_file__1].[JobStatus]" caption="JobStatus" attribute="1" defaultMemberUniqueName="[Data_Tracking___Test_file__1].[JobStatus].[All]" allUniqueName="[Data_Tracking___Test_file__1].[JobStatus].[All]" dimensionUniqueName="[Data_Tracking___Test_file__1]" displayFolder="" count="0" memberValueDatatype="130" unbalanced="0"/>
    <cacheHierarchy uniqueName="[Data_Tracking___Test_file__1].[CreatedBy]" caption="CreatedBy" attribute="1" defaultMemberUniqueName="[Data_Tracking___Test_file__1].[CreatedBy].[All]" allUniqueName="[Data_Tracking___Test_file__1].[CreatedBy].[All]" dimensionUniqueName="[Data_Tracking___Test_file__1]" displayFolder="" count="0" memberValueDatatype="130" unbalanced="0"/>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0"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0"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0"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0"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2" memberValueDatatype="130" unbalanced="0">
      <fieldsUsage count="2">
        <fieldUsage x="-1"/>
        <fieldUsage x="1"/>
      </fieldsUsage>
    </cacheHierarchy>
    <cacheHierarchy uniqueName="[Data_Tracking___Test_file__1].[Zip]" caption="Zip" attribute="1" defaultMemberUniqueName="[Data_Tracking___Test_file__1].[Zip].[All]" allUniqueName="[Data_Tracking___Test_file__1].[Zip].[All]" dimensionUniqueName="[Data_Tracking___Test_file__1]" displayFolder="" count="0"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0"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0"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0"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0"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0" memberValueDatatype="130" unbalanced="0"/>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0" memberValueDatatype="130" unbalanced="0"/>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0"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0"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hidden="1">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hidden="1">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hidden="1">
      <extLst>
        <ext xmlns:x15="http://schemas.microsoft.com/office/spreadsheetml/2010/11/main" uri="{B97F6D7D-B522-45F9-BDA1-12C45D357490}">
          <x15:cacheHierarchy aggregatedColumn="15"/>
        </ext>
      </extLst>
    </cacheHierarchy>
  </cacheHierarchies>
  <kpis count="0"/>
  <dimensions count="2">
    <dimension name="Data_Tracking___Test_file__1" uniqueName="[Data_Tracking___Test_file__1]" caption="Data_Tracking___Test_file__1"/>
    <dimension measure="1" name="Measures" uniqueName="[Measures]" caption="Measures"/>
  </dimensions>
  <measureGroups count="1">
    <measureGroup name="Data_Tracking___Test_file__1" caption="Data_Tracking___Test_file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07006481485" backgroundQuery="1" createdVersion="8" refreshedVersion="8" minRefreshableVersion="3" recordCount="0" supportSubquery="1" supportAdvancedDrill="1" xr:uid="{4E99A616-BF19-41EE-A3C7-84041CBD2A12}">
  <cacheSource type="external" connectionId="3"/>
  <cacheFields count="2">
    <cacheField name="[Measures].[Sum of SubTotal]" caption="Sum of SubTotal" numFmtId="0" hierarchy="22" level="32767"/>
    <cacheField name="[Data_Tracking___Test_file__1].[CreatedBy].[CreatedBy]" caption="CreatedBy" numFmtId="0" hierarchy="5" level="1">
      <sharedItems count="9">
        <s v="Adam Smith"/>
        <s v="Ava.Leblanc@1Cleanair.Ca"/>
        <s v="Chris Hamilton"/>
        <s v="Devin James"/>
        <s v="Hakim.B"/>
        <s v="John Doe"/>
        <s v="Lou Mcdonalds"/>
        <s v="Mark Anderson"/>
        <s v="Merry Doris"/>
      </sharedItems>
    </cacheField>
  </cacheFields>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0" memberValueDatatype="7" unbalanced="0"/>
    <cacheHierarchy uniqueName="[Data_Tracking___Test_file__1].[Month]" caption="Month" attribute="1" defaultMemberUniqueName="[Data_Tracking___Test_file__1].[Month].[All]" allUniqueName="[Data_Tracking___Test_file__1].[Month].[All]" dimensionUniqueName="[Data_Tracking___Test_file__1]" displayFolder="" count="0"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0" memberValueDatatype="130" unbalanced="0"/>
    <cacheHierarchy uniqueName="[Data_Tracking___Test_file__1].[JobType]" caption="JobType" attribute="1" defaultMemberUniqueName="[Data_Tracking___Test_file__1].[JobType].[All]" allUniqueName="[Data_Tracking___Test_file__1].[JobType].[All]" dimensionUniqueName="[Data_Tracking___Test_file__1]" displayFolder="" count="0" memberValueDatatype="130" unbalanced="0"/>
    <cacheHierarchy uniqueName="[Data_Tracking___Test_file__1].[JobStatus]" caption="JobStatus" attribute="1" defaultMemberUniqueName="[Data_Tracking___Test_file__1].[JobStatus].[All]" allUniqueName="[Data_Tracking___Test_file__1].[JobStatus].[All]" dimensionUniqueName="[Data_Tracking___Test_file__1]" displayFolder="" count="0" memberValueDatatype="130" unbalanced="0"/>
    <cacheHierarchy uniqueName="[Data_Tracking___Test_file__1].[CreatedBy]" caption="CreatedBy" attribute="1" defaultMemberUniqueName="[Data_Tracking___Test_file__1].[CreatedBy].[All]" allUniqueName="[Data_Tracking___Test_file__1].[CreatedBy].[All]" dimensionUniqueName="[Data_Tracking___Test_file__1]" displayFolder="" count="2" memberValueDatatype="130" unbalanced="0">
      <fieldsUsage count="2">
        <fieldUsage x="-1"/>
        <fieldUsage x="1"/>
      </fieldsUsage>
    </cacheHierarchy>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0"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0"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0"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0"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0" memberValueDatatype="130" unbalanced="0"/>
    <cacheHierarchy uniqueName="[Data_Tracking___Test_file__1].[Zip]" caption="Zip" attribute="1" defaultMemberUniqueName="[Data_Tracking___Test_file__1].[Zip].[All]" allUniqueName="[Data_Tracking___Test_file__1].[Zip].[All]" dimensionUniqueName="[Data_Tracking___Test_file__1]" displayFolder="" count="0"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0"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0"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0"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0"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0" memberValueDatatype="130" unbalanced="0"/>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0" memberValueDatatype="130" unbalanced="0"/>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0"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0"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hidden="1">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hidden="1">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hidden="1">
      <extLst>
        <ext xmlns:x15="http://schemas.microsoft.com/office/spreadsheetml/2010/11/main" uri="{B97F6D7D-B522-45F9-BDA1-12C45D357490}">
          <x15:cacheHierarchy aggregatedColumn="15"/>
        </ext>
      </extLst>
    </cacheHierarchy>
  </cacheHierarchies>
  <kpis count="0"/>
  <dimensions count="2">
    <dimension name="Data_Tracking___Test_file__1" uniqueName="[Data_Tracking___Test_file__1]" caption="Data_Tracking___Test_file__1"/>
    <dimension measure="1" name="Measures" uniqueName="[Measures]" caption="Measures"/>
  </dimensions>
  <measureGroups count="1">
    <measureGroup name="Data_Tracking___Test_file__1" caption="Data_Tracking___Test_file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07007986109" backgroundQuery="1" createdVersion="8" refreshedVersion="8" minRefreshableVersion="3" recordCount="0" supportSubquery="1" supportAdvancedDrill="1" xr:uid="{90BD4834-D13A-40B9-8C05-A2349046C2A4}">
  <cacheSource type="external" connectionId="3"/>
  <cacheFields count="1">
    <cacheField name="[Measures].[Average of SubTotal]" caption="Average of SubTotal" numFmtId="0" hierarchy="27" level="32767"/>
  </cacheFields>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0" memberValueDatatype="7" unbalanced="0"/>
    <cacheHierarchy uniqueName="[Data_Tracking___Test_file__1].[Month]" caption="Month" attribute="1" defaultMemberUniqueName="[Data_Tracking___Test_file__1].[Month].[All]" allUniqueName="[Data_Tracking___Test_file__1].[Month].[All]" dimensionUniqueName="[Data_Tracking___Test_file__1]" displayFolder="" count="0"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0" memberValueDatatype="130" unbalanced="0"/>
    <cacheHierarchy uniqueName="[Data_Tracking___Test_file__1].[JobType]" caption="JobType" attribute="1" defaultMemberUniqueName="[Data_Tracking___Test_file__1].[JobType].[All]" allUniqueName="[Data_Tracking___Test_file__1].[JobType].[All]" dimensionUniqueName="[Data_Tracking___Test_file__1]" displayFolder="" count="0" memberValueDatatype="130" unbalanced="0"/>
    <cacheHierarchy uniqueName="[Data_Tracking___Test_file__1].[JobStatus]" caption="JobStatus" attribute="1" defaultMemberUniqueName="[Data_Tracking___Test_file__1].[JobStatus].[All]" allUniqueName="[Data_Tracking___Test_file__1].[JobStatus].[All]" dimensionUniqueName="[Data_Tracking___Test_file__1]" displayFolder="" count="0" memberValueDatatype="130" unbalanced="0"/>
    <cacheHierarchy uniqueName="[Data_Tracking___Test_file__1].[CreatedBy]" caption="CreatedBy" attribute="1" defaultMemberUniqueName="[Data_Tracking___Test_file__1].[CreatedBy].[All]" allUniqueName="[Data_Tracking___Test_file__1].[CreatedBy].[All]" dimensionUniqueName="[Data_Tracking___Test_file__1]" displayFolder="" count="0" memberValueDatatype="130" unbalanced="0"/>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0"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0"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0"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0"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0" memberValueDatatype="130" unbalanced="0"/>
    <cacheHierarchy uniqueName="[Data_Tracking___Test_file__1].[Zip]" caption="Zip" attribute="1" defaultMemberUniqueName="[Data_Tracking___Test_file__1].[Zip].[All]" allUniqueName="[Data_Tracking___Test_file__1].[Zip].[All]" dimensionUniqueName="[Data_Tracking___Test_file__1]" displayFolder="" count="0"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0"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0"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0"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0"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0" memberValueDatatype="130" unbalanced="0"/>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0" memberValueDatatype="130" unbalanced="0"/>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0"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0"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hidden="1">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hidden="1">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hidden="1">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2">
    <dimension name="Data_Tracking___Test_file__1" uniqueName="[Data_Tracking___Test_file__1]" caption="Data_Tracking___Test_file__1"/>
    <dimension measure="1" name="Measures" uniqueName="[Measures]" caption="Measures"/>
  </dimensions>
  <measureGroups count="1">
    <measureGroup name="Data_Tracking___Test_file__1" caption="Data_Tracking___Test_file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07011921296" backgroundQuery="1" createdVersion="8" refreshedVersion="8" minRefreshableVersion="3" recordCount="0" supportSubquery="1" supportAdvancedDrill="1" xr:uid="{74D21C6D-1071-461D-8312-88AACC47196D}">
  <cacheSource type="external" connectionId="3"/>
  <cacheFields count="4">
    <cacheField name="[Measures].[Sum of SubTotal]" caption="Sum of SubTotal" numFmtId="0" hierarchy="22" level="32767"/>
    <cacheField name="[Data_Tracking___Test_file__1].[EstDateTimeStart].[EstDateTimeStart]" caption="EstDateTimeStart" numFmtId="0" level="1">
      <sharedItems containsSemiMixedTypes="0" containsNonDate="0" containsDate="1" containsString="0" minDate="2025-06-27T14:00:00" maxDate="2025-07-23T14:00:00" count="94">
        <d v="2025-06-27T14:00:00"/>
        <d v="2025-07-01T08:00:00"/>
        <d v="2025-07-01T11:00:00"/>
        <d v="2025-07-01T12:00:00"/>
        <d v="2025-07-01T14:00:00"/>
        <d v="2025-07-02T08:00:00"/>
        <d v="2025-07-02T10:00:00"/>
        <d v="2025-07-02T11:00:00"/>
        <d v="2025-07-02T12:00:00"/>
        <d v="2025-07-02T14:00:00"/>
        <d v="2025-07-03T08:00:00"/>
        <d v="2025-07-03T10:00:00"/>
        <d v="2025-07-03T12:00:00"/>
        <d v="2025-07-03T14:00:00"/>
        <d v="2025-07-04T08:00:00"/>
        <d v="2025-07-04T09:00:00"/>
        <d v="2025-07-04T10:00:00"/>
        <d v="2025-07-04T12:00:00"/>
        <d v="2025-07-04T14:00:00"/>
        <d v="2025-07-07T08:00:00"/>
        <d v="2025-07-07T10:00:00"/>
        <d v="2025-07-07T12:00:00"/>
        <d v="2025-07-08T08:00:00"/>
        <d v="2025-07-08T10:00:00"/>
        <d v="2025-07-08T12:00:00"/>
        <d v="2025-07-08T14:00:00"/>
        <d v="2025-07-09T08:00:00"/>
        <d v="2025-07-09T08:30:00"/>
        <d v="2025-07-09T12:00:00"/>
        <d v="2025-07-09T14:00:00"/>
        <d v="2025-07-10T08:00:00"/>
        <d v="2025-07-10T10:00:00"/>
        <d v="2025-07-10T12:00:00"/>
        <d v="2025-07-10T13:30:00"/>
        <d v="2025-07-10T14:00:00"/>
        <d v="2025-07-10T14:30:00"/>
        <d v="2025-07-11T08:00:00"/>
        <d v="2025-07-11T09:30:00"/>
        <d v="2025-07-11T10:00:00"/>
        <d v="2025-07-11T11:00:00"/>
        <d v="2025-07-11T12:00:00"/>
        <d v="2025-07-11T14:00:00"/>
        <d v="2025-07-14T08:00:00"/>
        <d v="2025-07-14T10:00:00"/>
        <d v="2025-07-14T12:00:00"/>
        <d v="2025-07-14T13:30:00"/>
        <d v="2025-07-14T14:00:00"/>
        <d v="2025-07-15T08:00:00"/>
        <d v="2025-07-15T09:00:00"/>
        <d v="2025-07-15T10:00:00"/>
        <d v="2025-07-15T11:30:00"/>
        <d v="2025-07-15T12:00:00"/>
        <d v="2025-07-15T12:30:00"/>
        <d v="2025-07-15T13:00:00"/>
        <d v="2025-07-15T13:30:00"/>
        <d v="2025-07-15T14:00:00"/>
        <d v="2025-07-15T14:30:00"/>
        <d v="2025-07-15T15:00:00"/>
        <d v="2025-07-16T08:00:00"/>
        <d v="2025-07-16T10:00:00"/>
        <d v="2025-07-16T12:00:00"/>
        <d v="2025-07-16T13:00:00"/>
        <d v="2025-07-16T14:00:00"/>
        <d v="2025-07-16T14:30:00"/>
        <d v="2025-07-17T08:00:00"/>
        <d v="2025-07-17T10:00:00"/>
        <d v="2025-07-17T12:00:00"/>
        <d v="2025-07-17T13:00:00"/>
        <d v="2025-07-17T14:00:00"/>
        <d v="2025-07-17T14:30:00"/>
        <d v="2025-07-18T08:00:00"/>
        <d v="2025-07-18T10:00:00"/>
        <d v="2025-07-18T12:00:00"/>
        <d v="2025-07-18T13:30:00"/>
        <d v="2025-07-18T14:00:00"/>
        <d v="2025-07-18T15:30:00"/>
        <d v="2025-07-19T08:00:00"/>
        <d v="2025-07-21T08:00:00"/>
        <d v="2025-07-21T10:00:00"/>
        <d v="2025-07-21T12:00:00"/>
        <d v="2025-07-21T12:30:00"/>
        <d v="2025-07-21T14:00:00"/>
        <d v="2025-07-22T08:00:00"/>
        <d v="2025-07-22T09:30:00"/>
        <d v="2025-07-22T10:00:00"/>
        <d v="2025-07-22T12:00:00"/>
        <d v="2025-07-22T13:30:00"/>
        <d v="2025-07-22T15:00:00"/>
        <d v="2025-07-23T08:00:00"/>
        <d v="2025-07-23T08:30:00"/>
        <d v="2025-07-23T09:30:00"/>
        <d v="2025-07-23T10:00:00"/>
        <d v="2025-07-23T12:00:00"/>
        <d v="2025-07-23T14:00:00"/>
      </sharedItems>
      <extLst>
        <ext xmlns:x15="http://schemas.microsoft.com/office/spreadsheetml/2010/11/main" uri="{4F2E5C28-24EA-4eb8-9CBF-B6C8F9C3D259}">
          <x15:cachedUniqueNames>
            <x15:cachedUniqueName index="0" name="[Data_Tracking___Test_file__1].[EstDateTimeStart].&amp;[2025-06-27T14:00:00]"/>
            <x15:cachedUniqueName index="1" name="[Data_Tracking___Test_file__1].[EstDateTimeStart].&amp;[2025-07-01T08:00:00]"/>
            <x15:cachedUniqueName index="2" name="[Data_Tracking___Test_file__1].[EstDateTimeStart].&amp;[2025-07-01T11:00:00]"/>
            <x15:cachedUniqueName index="3" name="[Data_Tracking___Test_file__1].[EstDateTimeStart].&amp;[2025-07-01T12:00:00]"/>
            <x15:cachedUniqueName index="4" name="[Data_Tracking___Test_file__1].[EstDateTimeStart].&amp;[2025-07-01T14:00:00]"/>
            <x15:cachedUniqueName index="5" name="[Data_Tracking___Test_file__1].[EstDateTimeStart].&amp;[2025-07-02T08:00:00]"/>
            <x15:cachedUniqueName index="6" name="[Data_Tracking___Test_file__1].[EstDateTimeStart].&amp;[2025-07-02T10:00:00]"/>
            <x15:cachedUniqueName index="7" name="[Data_Tracking___Test_file__1].[EstDateTimeStart].&amp;[2025-07-02T11:00:00]"/>
            <x15:cachedUniqueName index="8" name="[Data_Tracking___Test_file__1].[EstDateTimeStart].&amp;[2025-07-02T12:00:00]"/>
            <x15:cachedUniqueName index="9" name="[Data_Tracking___Test_file__1].[EstDateTimeStart].&amp;[2025-07-02T14:00:00]"/>
            <x15:cachedUniqueName index="10" name="[Data_Tracking___Test_file__1].[EstDateTimeStart].&amp;[2025-07-03T08:00:00]"/>
            <x15:cachedUniqueName index="11" name="[Data_Tracking___Test_file__1].[EstDateTimeStart].&amp;[2025-07-03T10:00:00]"/>
            <x15:cachedUniqueName index="12" name="[Data_Tracking___Test_file__1].[EstDateTimeStart].&amp;[2025-07-03T12:00:00]"/>
            <x15:cachedUniqueName index="13" name="[Data_Tracking___Test_file__1].[EstDateTimeStart].&amp;[2025-07-03T14:00:00]"/>
            <x15:cachedUniqueName index="14" name="[Data_Tracking___Test_file__1].[EstDateTimeStart].&amp;[2025-07-04T08:00:00]"/>
            <x15:cachedUniqueName index="15" name="[Data_Tracking___Test_file__1].[EstDateTimeStart].&amp;[2025-07-04T09:00:00]"/>
            <x15:cachedUniqueName index="16" name="[Data_Tracking___Test_file__1].[EstDateTimeStart].&amp;[2025-07-04T10:00:00]"/>
            <x15:cachedUniqueName index="17" name="[Data_Tracking___Test_file__1].[EstDateTimeStart].&amp;[2025-07-04T12:00:00]"/>
            <x15:cachedUniqueName index="18" name="[Data_Tracking___Test_file__1].[EstDateTimeStart].&amp;[2025-07-04T14:00:00]"/>
            <x15:cachedUniqueName index="19" name="[Data_Tracking___Test_file__1].[EstDateTimeStart].&amp;[2025-07-07T08:00:00]"/>
            <x15:cachedUniqueName index="20" name="[Data_Tracking___Test_file__1].[EstDateTimeStart].&amp;[2025-07-07T10:00:00]"/>
            <x15:cachedUniqueName index="21" name="[Data_Tracking___Test_file__1].[EstDateTimeStart].&amp;[2025-07-07T12:00:00]"/>
            <x15:cachedUniqueName index="22" name="[Data_Tracking___Test_file__1].[EstDateTimeStart].&amp;[2025-07-08T08:00:00]"/>
            <x15:cachedUniqueName index="23" name="[Data_Tracking___Test_file__1].[EstDateTimeStart].&amp;[2025-07-08T10:00:00]"/>
            <x15:cachedUniqueName index="24" name="[Data_Tracking___Test_file__1].[EstDateTimeStart].&amp;[2025-07-08T12:00:00]"/>
            <x15:cachedUniqueName index="25" name="[Data_Tracking___Test_file__1].[EstDateTimeStart].&amp;[2025-07-08T14:00:00]"/>
            <x15:cachedUniqueName index="26" name="[Data_Tracking___Test_file__1].[EstDateTimeStart].&amp;[2025-07-09T08:00:00]"/>
            <x15:cachedUniqueName index="27" name="[Data_Tracking___Test_file__1].[EstDateTimeStart].&amp;[2025-07-09T08:30:00]"/>
            <x15:cachedUniqueName index="28" name="[Data_Tracking___Test_file__1].[EstDateTimeStart].&amp;[2025-07-09T12:00:00]"/>
            <x15:cachedUniqueName index="29" name="[Data_Tracking___Test_file__1].[EstDateTimeStart].&amp;[2025-07-09T14:00:00]"/>
            <x15:cachedUniqueName index="30" name="[Data_Tracking___Test_file__1].[EstDateTimeStart].&amp;[2025-07-10T08:00:00]"/>
            <x15:cachedUniqueName index="31" name="[Data_Tracking___Test_file__1].[EstDateTimeStart].&amp;[2025-07-10T10:00:00]"/>
            <x15:cachedUniqueName index="32" name="[Data_Tracking___Test_file__1].[EstDateTimeStart].&amp;[2025-07-10T12:00:00]"/>
            <x15:cachedUniqueName index="33" name="[Data_Tracking___Test_file__1].[EstDateTimeStart].&amp;[2025-07-10T13:30:00]"/>
            <x15:cachedUniqueName index="34" name="[Data_Tracking___Test_file__1].[EstDateTimeStart].&amp;[2025-07-10T14:00:00]"/>
            <x15:cachedUniqueName index="35" name="[Data_Tracking___Test_file__1].[EstDateTimeStart].&amp;[2025-07-10T14:30:00]"/>
            <x15:cachedUniqueName index="36" name="[Data_Tracking___Test_file__1].[EstDateTimeStart].&amp;[2025-07-11T08:00:00]"/>
            <x15:cachedUniqueName index="37" name="[Data_Tracking___Test_file__1].[EstDateTimeStart].&amp;[2025-07-11T09:30:00]"/>
            <x15:cachedUniqueName index="38" name="[Data_Tracking___Test_file__1].[EstDateTimeStart].&amp;[2025-07-11T10:00:00]"/>
            <x15:cachedUniqueName index="39" name="[Data_Tracking___Test_file__1].[EstDateTimeStart].&amp;[2025-07-11T11:00:00]"/>
            <x15:cachedUniqueName index="40" name="[Data_Tracking___Test_file__1].[EstDateTimeStart].&amp;[2025-07-11T12:00:00]"/>
            <x15:cachedUniqueName index="41" name="[Data_Tracking___Test_file__1].[EstDateTimeStart].&amp;[2025-07-11T14:00:00]"/>
            <x15:cachedUniqueName index="42" name="[Data_Tracking___Test_file__1].[EstDateTimeStart].&amp;[2025-07-14T08:00:00]"/>
            <x15:cachedUniqueName index="43" name="[Data_Tracking___Test_file__1].[EstDateTimeStart].&amp;[2025-07-14T10:00:00]"/>
            <x15:cachedUniqueName index="44" name="[Data_Tracking___Test_file__1].[EstDateTimeStart].&amp;[2025-07-14T12:00:00]"/>
            <x15:cachedUniqueName index="45" name="[Data_Tracking___Test_file__1].[EstDateTimeStart].&amp;[2025-07-14T13:30:00]"/>
            <x15:cachedUniqueName index="46" name="[Data_Tracking___Test_file__1].[EstDateTimeStart].&amp;[2025-07-14T14:00:00]"/>
            <x15:cachedUniqueName index="47" name="[Data_Tracking___Test_file__1].[EstDateTimeStart].&amp;[2025-07-15T08:00:00]"/>
            <x15:cachedUniqueName index="48" name="[Data_Tracking___Test_file__1].[EstDateTimeStart].&amp;[2025-07-15T09:00:00]"/>
            <x15:cachedUniqueName index="49" name="[Data_Tracking___Test_file__1].[EstDateTimeStart].&amp;[2025-07-15T10:00:00]"/>
            <x15:cachedUniqueName index="50" name="[Data_Tracking___Test_file__1].[EstDateTimeStart].&amp;[2025-07-15T11:30:00]"/>
            <x15:cachedUniqueName index="51" name="[Data_Tracking___Test_file__1].[EstDateTimeStart].&amp;[2025-07-15T12:00:00]"/>
            <x15:cachedUniqueName index="52" name="[Data_Tracking___Test_file__1].[EstDateTimeStart].&amp;[2025-07-15T12:30:00]"/>
            <x15:cachedUniqueName index="53" name="[Data_Tracking___Test_file__1].[EstDateTimeStart].&amp;[2025-07-15T13:00:00]"/>
            <x15:cachedUniqueName index="54" name="[Data_Tracking___Test_file__1].[EstDateTimeStart].&amp;[2025-07-15T13:30:00]"/>
            <x15:cachedUniqueName index="55" name="[Data_Tracking___Test_file__1].[EstDateTimeStart].&amp;[2025-07-15T14:00:00]"/>
            <x15:cachedUniqueName index="56" name="[Data_Tracking___Test_file__1].[EstDateTimeStart].&amp;[2025-07-15T14:30:00]"/>
            <x15:cachedUniqueName index="57" name="[Data_Tracking___Test_file__1].[EstDateTimeStart].&amp;[2025-07-15T15:00:00]"/>
            <x15:cachedUniqueName index="58" name="[Data_Tracking___Test_file__1].[EstDateTimeStart].&amp;[2025-07-16T08:00:00]"/>
            <x15:cachedUniqueName index="59" name="[Data_Tracking___Test_file__1].[EstDateTimeStart].&amp;[2025-07-16T10:00:00]"/>
            <x15:cachedUniqueName index="60" name="[Data_Tracking___Test_file__1].[EstDateTimeStart].&amp;[2025-07-16T12:00:00]"/>
            <x15:cachedUniqueName index="61" name="[Data_Tracking___Test_file__1].[EstDateTimeStart].&amp;[2025-07-16T13:00:00]"/>
            <x15:cachedUniqueName index="62" name="[Data_Tracking___Test_file__1].[EstDateTimeStart].&amp;[2025-07-16T14:00:00]"/>
            <x15:cachedUniqueName index="63" name="[Data_Tracking___Test_file__1].[EstDateTimeStart].&amp;[2025-07-16T14:30:00]"/>
            <x15:cachedUniqueName index="64" name="[Data_Tracking___Test_file__1].[EstDateTimeStart].&amp;[2025-07-17T08:00:00]"/>
            <x15:cachedUniqueName index="65" name="[Data_Tracking___Test_file__1].[EstDateTimeStart].&amp;[2025-07-17T10:00:00]"/>
            <x15:cachedUniqueName index="66" name="[Data_Tracking___Test_file__1].[EstDateTimeStart].&amp;[2025-07-17T12:00:00]"/>
            <x15:cachedUniqueName index="67" name="[Data_Tracking___Test_file__1].[EstDateTimeStart].&amp;[2025-07-17T13:00:00]"/>
            <x15:cachedUniqueName index="68" name="[Data_Tracking___Test_file__1].[EstDateTimeStart].&amp;[2025-07-17T14:00:00]"/>
            <x15:cachedUniqueName index="69" name="[Data_Tracking___Test_file__1].[EstDateTimeStart].&amp;[2025-07-17T14:30:00]"/>
            <x15:cachedUniqueName index="70" name="[Data_Tracking___Test_file__1].[EstDateTimeStart].&amp;[2025-07-18T08:00:00]"/>
            <x15:cachedUniqueName index="71" name="[Data_Tracking___Test_file__1].[EstDateTimeStart].&amp;[2025-07-18T10:00:00]"/>
            <x15:cachedUniqueName index="72" name="[Data_Tracking___Test_file__1].[EstDateTimeStart].&amp;[2025-07-18T12:00:00]"/>
            <x15:cachedUniqueName index="73" name="[Data_Tracking___Test_file__1].[EstDateTimeStart].&amp;[2025-07-18T13:30:00]"/>
            <x15:cachedUniqueName index="74" name="[Data_Tracking___Test_file__1].[EstDateTimeStart].&amp;[2025-07-18T14:00:00]"/>
            <x15:cachedUniqueName index="75" name="[Data_Tracking___Test_file__1].[EstDateTimeStart].&amp;[2025-07-18T15:30:00]"/>
            <x15:cachedUniqueName index="76" name="[Data_Tracking___Test_file__1].[EstDateTimeStart].&amp;[2025-07-19T08:00:00]"/>
            <x15:cachedUniqueName index="77" name="[Data_Tracking___Test_file__1].[EstDateTimeStart].&amp;[2025-07-21T08:00:00]"/>
            <x15:cachedUniqueName index="78" name="[Data_Tracking___Test_file__1].[EstDateTimeStart].&amp;[2025-07-21T10:00:00]"/>
            <x15:cachedUniqueName index="79" name="[Data_Tracking___Test_file__1].[EstDateTimeStart].&amp;[2025-07-21T12:00:00]"/>
            <x15:cachedUniqueName index="80" name="[Data_Tracking___Test_file__1].[EstDateTimeStart].&amp;[2025-07-21T12:30:00]"/>
            <x15:cachedUniqueName index="81" name="[Data_Tracking___Test_file__1].[EstDateTimeStart].&amp;[2025-07-21T14:00:00]"/>
            <x15:cachedUniqueName index="82" name="[Data_Tracking___Test_file__1].[EstDateTimeStart].&amp;[2025-07-22T08:00:00]"/>
            <x15:cachedUniqueName index="83" name="[Data_Tracking___Test_file__1].[EstDateTimeStart].&amp;[2025-07-22T09:30:00]"/>
            <x15:cachedUniqueName index="84" name="[Data_Tracking___Test_file__1].[EstDateTimeStart].&amp;[2025-07-22T10:00:00]"/>
            <x15:cachedUniqueName index="85" name="[Data_Tracking___Test_file__1].[EstDateTimeStart].&amp;[2025-07-22T12:00:00]"/>
            <x15:cachedUniqueName index="86" name="[Data_Tracking___Test_file__1].[EstDateTimeStart].&amp;[2025-07-22T13:30:00]"/>
            <x15:cachedUniqueName index="87" name="[Data_Tracking___Test_file__1].[EstDateTimeStart].&amp;[2025-07-22T15:00:00]"/>
            <x15:cachedUniqueName index="88" name="[Data_Tracking___Test_file__1].[EstDateTimeStart].&amp;[2025-07-23T08:00:00]"/>
            <x15:cachedUniqueName index="89" name="[Data_Tracking___Test_file__1].[EstDateTimeStart].&amp;[2025-07-23T08:30:00]"/>
            <x15:cachedUniqueName index="90" name="[Data_Tracking___Test_file__1].[EstDateTimeStart].&amp;[2025-07-23T09:30:00]"/>
            <x15:cachedUniqueName index="91" name="[Data_Tracking___Test_file__1].[EstDateTimeStart].&amp;[2025-07-23T10:00:00]"/>
            <x15:cachedUniqueName index="92" name="[Data_Tracking___Test_file__1].[EstDateTimeStart].&amp;[2025-07-23T12:00:00]"/>
            <x15:cachedUniqueName index="93" name="[Data_Tracking___Test_file__1].[EstDateTimeStart].&amp;[2025-07-23T14:00:00]"/>
          </x15:cachedUniqueNames>
        </ext>
      </extLst>
    </cacheField>
    <cacheField name="[Data_Tracking___Test_file__1].[EstDateTimeStart (Month)].[EstDateTimeStart (Month)]" caption="EstDateTimeStart (Month)" numFmtId="0" hierarchy="16" level="1">
      <sharedItems count="2">
        <s v="Jun"/>
        <s v="Jul"/>
      </sharedItems>
    </cacheField>
    <cacheField name="[Data_Tracking___Test_file__1].[EstDateTimeStart (Day)].[EstDateTimeStart (Day)]" caption="EstDateTimeStart (Day)" numFmtId="0" hierarchy="17" level="1">
      <sharedItems count="19">
        <s v="27-Jun"/>
        <s v="1-Jul"/>
        <s v="2-Jul"/>
        <s v="3-Jul"/>
        <s v="4-Jul"/>
        <s v="7-Jul"/>
        <s v="8-Jul"/>
        <s v="9-Jul"/>
        <s v="10-Jul"/>
        <s v="11-Jul"/>
        <s v="14-Jul"/>
        <s v="15-Jul"/>
        <s v="16-Jul"/>
        <s v="17-Jul"/>
        <s v="18-Jul"/>
        <s v="19-Jul"/>
        <s v="21-Jul"/>
        <s v="22-Jul"/>
        <s v="23-Jul"/>
      </sharedItems>
    </cacheField>
  </cacheFields>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2" memberValueDatatype="7" unbalanced="0">
      <fieldsUsage count="2">
        <fieldUsage x="-1"/>
        <fieldUsage x="1"/>
      </fieldsUsage>
    </cacheHierarchy>
    <cacheHierarchy uniqueName="[Data_Tracking___Test_file__1].[Month]" caption="Month" attribute="1" defaultMemberUniqueName="[Data_Tracking___Test_file__1].[Month].[All]" allUniqueName="[Data_Tracking___Test_file__1].[Month].[All]" dimensionUniqueName="[Data_Tracking___Test_file__1]" displayFolder="" count="0"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0" memberValueDatatype="130" unbalanced="0"/>
    <cacheHierarchy uniqueName="[Data_Tracking___Test_file__1].[JobType]" caption="JobType" attribute="1" defaultMemberUniqueName="[Data_Tracking___Test_file__1].[JobType].[All]" allUniqueName="[Data_Tracking___Test_file__1].[JobType].[All]" dimensionUniqueName="[Data_Tracking___Test_file__1]" displayFolder="" count="0" memberValueDatatype="130" unbalanced="0"/>
    <cacheHierarchy uniqueName="[Data_Tracking___Test_file__1].[JobStatus]" caption="JobStatus" attribute="1" defaultMemberUniqueName="[Data_Tracking___Test_file__1].[JobStatus].[All]" allUniqueName="[Data_Tracking___Test_file__1].[JobStatus].[All]" dimensionUniqueName="[Data_Tracking___Test_file__1]" displayFolder="" count="0" memberValueDatatype="130" unbalanced="0"/>
    <cacheHierarchy uniqueName="[Data_Tracking___Test_file__1].[CreatedBy]" caption="CreatedBy" attribute="1" defaultMemberUniqueName="[Data_Tracking___Test_file__1].[CreatedBy].[All]" allUniqueName="[Data_Tracking___Test_file__1].[CreatedBy].[All]" dimensionUniqueName="[Data_Tracking___Test_file__1]" displayFolder="" count="0" memberValueDatatype="130" unbalanced="0"/>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0"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0"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0"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0"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0" memberValueDatatype="130" unbalanced="0"/>
    <cacheHierarchy uniqueName="[Data_Tracking___Test_file__1].[Zip]" caption="Zip" attribute="1" defaultMemberUniqueName="[Data_Tracking___Test_file__1].[Zip].[All]" allUniqueName="[Data_Tracking___Test_file__1].[Zip].[All]" dimensionUniqueName="[Data_Tracking___Test_file__1]" displayFolder="" count="0"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0"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0"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0"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0"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2" memberValueDatatype="130" unbalanced="0">
      <fieldsUsage count="2">
        <fieldUsage x="-1"/>
        <fieldUsage x="2"/>
      </fieldsUsage>
    </cacheHierarchy>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2" memberValueDatatype="130" unbalanced="0">
      <fieldsUsage count="2">
        <fieldUsage x="-1"/>
        <fieldUsage x="3"/>
      </fieldsUsage>
    </cacheHierarchy>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0"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0"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hidden="1">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hidden="1">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hidden="1">
      <extLst>
        <ext xmlns:x15="http://schemas.microsoft.com/office/spreadsheetml/2010/11/main" uri="{B97F6D7D-B522-45F9-BDA1-12C45D357490}">
          <x15:cacheHierarchy aggregatedColumn="15"/>
        </ext>
      </extLst>
    </cacheHierarchy>
  </cacheHierarchies>
  <kpis count="0"/>
  <dimensions count="2">
    <dimension name="Data_Tracking___Test_file__1" uniqueName="[Data_Tracking___Test_file__1]" caption="Data_Tracking___Test_file__1"/>
    <dimension measure="1" name="Measures" uniqueName="[Measures]" caption="Measures"/>
  </dimensions>
  <measureGroups count="1">
    <measureGroup name="Data_Tracking___Test_file__1" caption="Data_Tracking___Test_file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07190972223" backgroundQuery="1" createdVersion="8" refreshedVersion="8" minRefreshableVersion="3" recordCount="0" supportSubquery="1" supportAdvancedDrill="1" xr:uid="{8D819345-7EA4-4E21-AA39-F2B760072291}">
  <cacheSource type="external" connectionId="3"/>
  <cacheFields count="4">
    <cacheField name="[Data_Tracking___Test_file__1].[EstDateTimeStart].[EstDateTimeStart]" caption="EstDateTimeStart" numFmtId="0" level="1">
      <sharedItems containsSemiMixedTypes="0" containsNonDate="0" containsDate="1" containsString="0" minDate="2025-06-27T14:00:00" maxDate="2025-07-23T14:00:00" count="94">
        <d v="2025-06-27T14:00:00"/>
        <d v="2025-07-01T08:00:00"/>
        <d v="2025-07-01T11:00:00"/>
        <d v="2025-07-01T12:00:00"/>
        <d v="2025-07-01T14:00:00"/>
        <d v="2025-07-02T08:00:00"/>
        <d v="2025-07-02T10:00:00"/>
        <d v="2025-07-02T11:00:00"/>
        <d v="2025-07-02T12:00:00"/>
        <d v="2025-07-02T14:00:00"/>
        <d v="2025-07-03T08:00:00"/>
        <d v="2025-07-03T10:00:00"/>
        <d v="2025-07-03T12:00:00"/>
        <d v="2025-07-03T14:00:00"/>
        <d v="2025-07-04T08:00:00"/>
        <d v="2025-07-04T09:00:00"/>
        <d v="2025-07-04T10:00:00"/>
        <d v="2025-07-04T12:00:00"/>
        <d v="2025-07-04T14:00:00"/>
        <d v="2025-07-07T08:00:00"/>
        <d v="2025-07-07T10:00:00"/>
        <d v="2025-07-07T12:00:00"/>
        <d v="2025-07-08T08:00:00"/>
        <d v="2025-07-08T10:00:00"/>
        <d v="2025-07-08T12:00:00"/>
        <d v="2025-07-08T14:00:00"/>
        <d v="2025-07-09T08:00:00"/>
        <d v="2025-07-09T08:30:00"/>
        <d v="2025-07-09T12:00:00"/>
        <d v="2025-07-09T14:00:00"/>
        <d v="2025-07-10T08:00:00"/>
        <d v="2025-07-10T10:00:00"/>
        <d v="2025-07-10T12:00:00"/>
        <d v="2025-07-10T13:30:00"/>
        <d v="2025-07-10T14:00:00"/>
        <d v="2025-07-10T14:30:00"/>
        <d v="2025-07-11T08:00:00"/>
        <d v="2025-07-11T09:30:00"/>
        <d v="2025-07-11T10:00:00"/>
        <d v="2025-07-11T11:00:00"/>
        <d v="2025-07-11T12:00:00"/>
        <d v="2025-07-11T14:00:00"/>
        <d v="2025-07-14T08:00:00"/>
        <d v="2025-07-14T10:00:00"/>
        <d v="2025-07-14T12:00:00"/>
        <d v="2025-07-14T13:30:00"/>
        <d v="2025-07-14T14:00:00"/>
        <d v="2025-07-15T08:00:00"/>
        <d v="2025-07-15T09:00:00"/>
        <d v="2025-07-15T10:00:00"/>
        <d v="2025-07-15T11:30:00"/>
        <d v="2025-07-15T12:00:00"/>
        <d v="2025-07-15T12:30:00"/>
        <d v="2025-07-15T13:00:00"/>
        <d v="2025-07-15T13:30:00"/>
        <d v="2025-07-15T14:00:00"/>
        <d v="2025-07-15T14:30:00"/>
        <d v="2025-07-15T15:00:00"/>
        <d v="2025-07-16T08:00:00"/>
        <d v="2025-07-16T10:00:00"/>
        <d v="2025-07-16T12:00:00"/>
        <d v="2025-07-16T13:00:00"/>
        <d v="2025-07-16T14:00:00"/>
        <d v="2025-07-16T14:30:00"/>
        <d v="2025-07-17T08:00:00"/>
        <d v="2025-07-17T10:00:00"/>
        <d v="2025-07-17T12:00:00"/>
        <d v="2025-07-17T13:00:00"/>
        <d v="2025-07-17T14:00:00"/>
        <d v="2025-07-17T14:30:00"/>
        <d v="2025-07-18T08:00:00"/>
        <d v="2025-07-18T10:00:00"/>
        <d v="2025-07-18T12:00:00"/>
        <d v="2025-07-18T13:30:00"/>
        <d v="2025-07-18T14:00:00"/>
        <d v="2025-07-18T15:30:00"/>
        <d v="2025-07-19T08:00:00"/>
        <d v="2025-07-21T08:00:00"/>
        <d v="2025-07-21T10:00:00"/>
        <d v="2025-07-21T12:00:00"/>
        <d v="2025-07-21T12:30:00"/>
        <d v="2025-07-21T14:00:00"/>
        <d v="2025-07-22T08:00:00"/>
        <d v="2025-07-22T09:30:00"/>
        <d v="2025-07-22T10:00:00"/>
        <d v="2025-07-22T12:00:00"/>
        <d v="2025-07-22T13:30:00"/>
        <d v="2025-07-22T15:00:00"/>
        <d v="2025-07-23T08:00:00"/>
        <d v="2025-07-23T08:30:00"/>
        <d v="2025-07-23T09:30:00"/>
        <d v="2025-07-23T10:00:00"/>
        <d v="2025-07-23T12:00:00"/>
        <d v="2025-07-23T14:00:00"/>
      </sharedItems>
      <extLst>
        <ext xmlns:x15="http://schemas.microsoft.com/office/spreadsheetml/2010/11/main" uri="{4F2E5C28-24EA-4eb8-9CBF-B6C8F9C3D259}">
          <x15:cachedUniqueNames>
            <x15:cachedUniqueName index="0" name="[Data_Tracking___Test_file__1].[EstDateTimeStart].&amp;[2025-06-27T14:00:00]"/>
            <x15:cachedUniqueName index="1" name="[Data_Tracking___Test_file__1].[EstDateTimeStart].&amp;[2025-07-01T08:00:00]"/>
            <x15:cachedUniqueName index="2" name="[Data_Tracking___Test_file__1].[EstDateTimeStart].&amp;[2025-07-01T11:00:00]"/>
            <x15:cachedUniqueName index="3" name="[Data_Tracking___Test_file__1].[EstDateTimeStart].&amp;[2025-07-01T12:00:00]"/>
            <x15:cachedUniqueName index="4" name="[Data_Tracking___Test_file__1].[EstDateTimeStart].&amp;[2025-07-01T14:00:00]"/>
            <x15:cachedUniqueName index="5" name="[Data_Tracking___Test_file__1].[EstDateTimeStart].&amp;[2025-07-02T08:00:00]"/>
            <x15:cachedUniqueName index="6" name="[Data_Tracking___Test_file__1].[EstDateTimeStart].&amp;[2025-07-02T10:00:00]"/>
            <x15:cachedUniqueName index="7" name="[Data_Tracking___Test_file__1].[EstDateTimeStart].&amp;[2025-07-02T11:00:00]"/>
            <x15:cachedUniqueName index="8" name="[Data_Tracking___Test_file__1].[EstDateTimeStart].&amp;[2025-07-02T12:00:00]"/>
            <x15:cachedUniqueName index="9" name="[Data_Tracking___Test_file__1].[EstDateTimeStart].&amp;[2025-07-02T14:00:00]"/>
            <x15:cachedUniqueName index="10" name="[Data_Tracking___Test_file__1].[EstDateTimeStart].&amp;[2025-07-03T08:00:00]"/>
            <x15:cachedUniqueName index="11" name="[Data_Tracking___Test_file__1].[EstDateTimeStart].&amp;[2025-07-03T10:00:00]"/>
            <x15:cachedUniqueName index="12" name="[Data_Tracking___Test_file__1].[EstDateTimeStart].&amp;[2025-07-03T12:00:00]"/>
            <x15:cachedUniqueName index="13" name="[Data_Tracking___Test_file__1].[EstDateTimeStart].&amp;[2025-07-03T14:00:00]"/>
            <x15:cachedUniqueName index="14" name="[Data_Tracking___Test_file__1].[EstDateTimeStart].&amp;[2025-07-04T08:00:00]"/>
            <x15:cachedUniqueName index="15" name="[Data_Tracking___Test_file__1].[EstDateTimeStart].&amp;[2025-07-04T09:00:00]"/>
            <x15:cachedUniqueName index="16" name="[Data_Tracking___Test_file__1].[EstDateTimeStart].&amp;[2025-07-04T10:00:00]"/>
            <x15:cachedUniqueName index="17" name="[Data_Tracking___Test_file__1].[EstDateTimeStart].&amp;[2025-07-04T12:00:00]"/>
            <x15:cachedUniqueName index="18" name="[Data_Tracking___Test_file__1].[EstDateTimeStart].&amp;[2025-07-04T14:00:00]"/>
            <x15:cachedUniqueName index="19" name="[Data_Tracking___Test_file__1].[EstDateTimeStart].&amp;[2025-07-07T08:00:00]"/>
            <x15:cachedUniqueName index="20" name="[Data_Tracking___Test_file__1].[EstDateTimeStart].&amp;[2025-07-07T10:00:00]"/>
            <x15:cachedUniqueName index="21" name="[Data_Tracking___Test_file__1].[EstDateTimeStart].&amp;[2025-07-07T12:00:00]"/>
            <x15:cachedUniqueName index="22" name="[Data_Tracking___Test_file__1].[EstDateTimeStart].&amp;[2025-07-08T08:00:00]"/>
            <x15:cachedUniqueName index="23" name="[Data_Tracking___Test_file__1].[EstDateTimeStart].&amp;[2025-07-08T10:00:00]"/>
            <x15:cachedUniqueName index="24" name="[Data_Tracking___Test_file__1].[EstDateTimeStart].&amp;[2025-07-08T12:00:00]"/>
            <x15:cachedUniqueName index="25" name="[Data_Tracking___Test_file__1].[EstDateTimeStart].&amp;[2025-07-08T14:00:00]"/>
            <x15:cachedUniqueName index="26" name="[Data_Tracking___Test_file__1].[EstDateTimeStart].&amp;[2025-07-09T08:00:00]"/>
            <x15:cachedUniqueName index="27" name="[Data_Tracking___Test_file__1].[EstDateTimeStart].&amp;[2025-07-09T08:30:00]"/>
            <x15:cachedUniqueName index="28" name="[Data_Tracking___Test_file__1].[EstDateTimeStart].&amp;[2025-07-09T12:00:00]"/>
            <x15:cachedUniqueName index="29" name="[Data_Tracking___Test_file__1].[EstDateTimeStart].&amp;[2025-07-09T14:00:00]"/>
            <x15:cachedUniqueName index="30" name="[Data_Tracking___Test_file__1].[EstDateTimeStart].&amp;[2025-07-10T08:00:00]"/>
            <x15:cachedUniqueName index="31" name="[Data_Tracking___Test_file__1].[EstDateTimeStart].&amp;[2025-07-10T10:00:00]"/>
            <x15:cachedUniqueName index="32" name="[Data_Tracking___Test_file__1].[EstDateTimeStart].&amp;[2025-07-10T12:00:00]"/>
            <x15:cachedUniqueName index="33" name="[Data_Tracking___Test_file__1].[EstDateTimeStart].&amp;[2025-07-10T13:30:00]"/>
            <x15:cachedUniqueName index="34" name="[Data_Tracking___Test_file__1].[EstDateTimeStart].&amp;[2025-07-10T14:00:00]"/>
            <x15:cachedUniqueName index="35" name="[Data_Tracking___Test_file__1].[EstDateTimeStart].&amp;[2025-07-10T14:30:00]"/>
            <x15:cachedUniqueName index="36" name="[Data_Tracking___Test_file__1].[EstDateTimeStart].&amp;[2025-07-11T08:00:00]"/>
            <x15:cachedUniqueName index="37" name="[Data_Tracking___Test_file__1].[EstDateTimeStart].&amp;[2025-07-11T09:30:00]"/>
            <x15:cachedUniqueName index="38" name="[Data_Tracking___Test_file__1].[EstDateTimeStart].&amp;[2025-07-11T10:00:00]"/>
            <x15:cachedUniqueName index="39" name="[Data_Tracking___Test_file__1].[EstDateTimeStart].&amp;[2025-07-11T11:00:00]"/>
            <x15:cachedUniqueName index="40" name="[Data_Tracking___Test_file__1].[EstDateTimeStart].&amp;[2025-07-11T12:00:00]"/>
            <x15:cachedUniqueName index="41" name="[Data_Tracking___Test_file__1].[EstDateTimeStart].&amp;[2025-07-11T14:00:00]"/>
            <x15:cachedUniqueName index="42" name="[Data_Tracking___Test_file__1].[EstDateTimeStart].&amp;[2025-07-14T08:00:00]"/>
            <x15:cachedUniqueName index="43" name="[Data_Tracking___Test_file__1].[EstDateTimeStart].&amp;[2025-07-14T10:00:00]"/>
            <x15:cachedUniqueName index="44" name="[Data_Tracking___Test_file__1].[EstDateTimeStart].&amp;[2025-07-14T12:00:00]"/>
            <x15:cachedUniqueName index="45" name="[Data_Tracking___Test_file__1].[EstDateTimeStart].&amp;[2025-07-14T13:30:00]"/>
            <x15:cachedUniqueName index="46" name="[Data_Tracking___Test_file__1].[EstDateTimeStart].&amp;[2025-07-14T14:00:00]"/>
            <x15:cachedUniqueName index="47" name="[Data_Tracking___Test_file__1].[EstDateTimeStart].&amp;[2025-07-15T08:00:00]"/>
            <x15:cachedUniqueName index="48" name="[Data_Tracking___Test_file__1].[EstDateTimeStart].&amp;[2025-07-15T09:00:00]"/>
            <x15:cachedUniqueName index="49" name="[Data_Tracking___Test_file__1].[EstDateTimeStart].&amp;[2025-07-15T10:00:00]"/>
            <x15:cachedUniqueName index="50" name="[Data_Tracking___Test_file__1].[EstDateTimeStart].&amp;[2025-07-15T11:30:00]"/>
            <x15:cachedUniqueName index="51" name="[Data_Tracking___Test_file__1].[EstDateTimeStart].&amp;[2025-07-15T12:00:00]"/>
            <x15:cachedUniqueName index="52" name="[Data_Tracking___Test_file__1].[EstDateTimeStart].&amp;[2025-07-15T12:30:00]"/>
            <x15:cachedUniqueName index="53" name="[Data_Tracking___Test_file__1].[EstDateTimeStart].&amp;[2025-07-15T13:00:00]"/>
            <x15:cachedUniqueName index="54" name="[Data_Tracking___Test_file__1].[EstDateTimeStart].&amp;[2025-07-15T13:30:00]"/>
            <x15:cachedUniqueName index="55" name="[Data_Tracking___Test_file__1].[EstDateTimeStart].&amp;[2025-07-15T14:00:00]"/>
            <x15:cachedUniqueName index="56" name="[Data_Tracking___Test_file__1].[EstDateTimeStart].&amp;[2025-07-15T14:30:00]"/>
            <x15:cachedUniqueName index="57" name="[Data_Tracking___Test_file__1].[EstDateTimeStart].&amp;[2025-07-15T15:00:00]"/>
            <x15:cachedUniqueName index="58" name="[Data_Tracking___Test_file__1].[EstDateTimeStart].&amp;[2025-07-16T08:00:00]"/>
            <x15:cachedUniqueName index="59" name="[Data_Tracking___Test_file__1].[EstDateTimeStart].&amp;[2025-07-16T10:00:00]"/>
            <x15:cachedUniqueName index="60" name="[Data_Tracking___Test_file__1].[EstDateTimeStart].&amp;[2025-07-16T12:00:00]"/>
            <x15:cachedUniqueName index="61" name="[Data_Tracking___Test_file__1].[EstDateTimeStart].&amp;[2025-07-16T13:00:00]"/>
            <x15:cachedUniqueName index="62" name="[Data_Tracking___Test_file__1].[EstDateTimeStart].&amp;[2025-07-16T14:00:00]"/>
            <x15:cachedUniqueName index="63" name="[Data_Tracking___Test_file__1].[EstDateTimeStart].&amp;[2025-07-16T14:30:00]"/>
            <x15:cachedUniqueName index="64" name="[Data_Tracking___Test_file__1].[EstDateTimeStart].&amp;[2025-07-17T08:00:00]"/>
            <x15:cachedUniqueName index="65" name="[Data_Tracking___Test_file__1].[EstDateTimeStart].&amp;[2025-07-17T10:00:00]"/>
            <x15:cachedUniqueName index="66" name="[Data_Tracking___Test_file__1].[EstDateTimeStart].&amp;[2025-07-17T12:00:00]"/>
            <x15:cachedUniqueName index="67" name="[Data_Tracking___Test_file__1].[EstDateTimeStart].&amp;[2025-07-17T13:00:00]"/>
            <x15:cachedUniqueName index="68" name="[Data_Tracking___Test_file__1].[EstDateTimeStart].&amp;[2025-07-17T14:00:00]"/>
            <x15:cachedUniqueName index="69" name="[Data_Tracking___Test_file__1].[EstDateTimeStart].&amp;[2025-07-17T14:30:00]"/>
            <x15:cachedUniqueName index="70" name="[Data_Tracking___Test_file__1].[EstDateTimeStart].&amp;[2025-07-18T08:00:00]"/>
            <x15:cachedUniqueName index="71" name="[Data_Tracking___Test_file__1].[EstDateTimeStart].&amp;[2025-07-18T10:00:00]"/>
            <x15:cachedUniqueName index="72" name="[Data_Tracking___Test_file__1].[EstDateTimeStart].&amp;[2025-07-18T12:00:00]"/>
            <x15:cachedUniqueName index="73" name="[Data_Tracking___Test_file__1].[EstDateTimeStart].&amp;[2025-07-18T13:30:00]"/>
            <x15:cachedUniqueName index="74" name="[Data_Tracking___Test_file__1].[EstDateTimeStart].&amp;[2025-07-18T14:00:00]"/>
            <x15:cachedUniqueName index="75" name="[Data_Tracking___Test_file__1].[EstDateTimeStart].&amp;[2025-07-18T15:30:00]"/>
            <x15:cachedUniqueName index="76" name="[Data_Tracking___Test_file__1].[EstDateTimeStart].&amp;[2025-07-19T08:00:00]"/>
            <x15:cachedUniqueName index="77" name="[Data_Tracking___Test_file__1].[EstDateTimeStart].&amp;[2025-07-21T08:00:00]"/>
            <x15:cachedUniqueName index="78" name="[Data_Tracking___Test_file__1].[EstDateTimeStart].&amp;[2025-07-21T10:00:00]"/>
            <x15:cachedUniqueName index="79" name="[Data_Tracking___Test_file__1].[EstDateTimeStart].&amp;[2025-07-21T12:00:00]"/>
            <x15:cachedUniqueName index="80" name="[Data_Tracking___Test_file__1].[EstDateTimeStart].&amp;[2025-07-21T12:30:00]"/>
            <x15:cachedUniqueName index="81" name="[Data_Tracking___Test_file__1].[EstDateTimeStart].&amp;[2025-07-21T14:00:00]"/>
            <x15:cachedUniqueName index="82" name="[Data_Tracking___Test_file__1].[EstDateTimeStart].&amp;[2025-07-22T08:00:00]"/>
            <x15:cachedUniqueName index="83" name="[Data_Tracking___Test_file__1].[EstDateTimeStart].&amp;[2025-07-22T09:30:00]"/>
            <x15:cachedUniqueName index="84" name="[Data_Tracking___Test_file__1].[EstDateTimeStart].&amp;[2025-07-22T10:00:00]"/>
            <x15:cachedUniqueName index="85" name="[Data_Tracking___Test_file__1].[EstDateTimeStart].&amp;[2025-07-22T12:00:00]"/>
            <x15:cachedUniqueName index="86" name="[Data_Tracking___Test_file__1].[EstDateTimeStart].&amp;[2025-07-22T13:30:00]"/>
            <x15:cachedUniqueName index="87" name="[Data_Tracking___Test_file__1].[EstDateTimeStart].&amp;[2025-07-22T15:00:00]"/>
            <x15:cachedUniqueName index="88" name="[Data_Tracking___Test_file__1].[EstDateTimeStart].&amp;[2025-07-23T08:00:00]"/>
            <x15:cachedUniqueName index="89" name="[Data_Tracking___Test_file__1].[EstDateTimeStart].&amp;[2025-07-23T08:30:00]"/>
            <x15:cachedUniqueName index="90" name="[Data_Tracking___Test_file__1].[EstDateTimeStart].&amp;[2025-07-23T09:30:00]"/>
            <x15:cachedUniqueName index="91" name="[Data_Tracking___Test_file__1].[EstDateTimeStart].&amp;[2025-07-23T10:00:00]"/>
            <x15:cachedUniqueName index="92" name="[Data_Tracking___Test_file__1].[EstDateTimeStart].&amp;[2025-07-23T12:00:00]"/>
            <x15:cachedUniqueName index="93" name="[Data_Tracking___Test_file__1].[EstDateTimeStart].&amp;[2025-07-23T14:00:00]"/>
          </x15:cachedUniqueNames>
        </ext>
      </extLst>
    </cacheField>
    <cacheField name="[Measures].[Count of JobType]" caption="Count of JobType" numFmtId="0" hierarchy="26" level="32767"/>
    <cacheField name="[Data_Tracking___Test_file__1].[EstDateTimeStart (Month)].[EstDateTimeStart (Month)]" caption="EstDateTimeStart (Month)" numFmtId="0" hierarchy="16" level="1">
      <sharedItems count="2">
        <s v="Jun"/>
        <s v="Jul"/>
      </sharedItems>
    </cacheField>
    <cacheField name="[Data_Tracking___Test_file__1].[EstDateTimeStart (Day)].[EstDateTimeStart (Day)]" caption="EstDateTimeStart (Day)" numFmtId="0" hierarchy="17" level="1">
      <sharedItems count="19">
        <s v="27-Jun"/>
        <s v="1-Jul"/>
        <s v="2-Jul"/>
        <s v="3-Jul"/>
        <s v="4-Jul"/>
        <s v="7-Jul"/>
        <s v="8-Jul"/>
        <s v="9-Jul"/>
        <s v="10-Jul"/>
        <s v="11-Jul"/>
        <s v="14-Jul"/>
        <s v="15-Jul"/>
        <s v="16-Jul"/>
        <s v="17-Jul"/>
        <s v="18-Jul"/>
        <s v="19-Jul"/>
        <s v="21-Jul"/>
        <s v="22-Jul"/>
        <s v="23-Jul"/>
      </sharedItems>
    </cacheField>
  </cacheFields>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2" memberValueDatatype="7" unbalanced="0">
      <fieldsUsage count="2">
        <fieldUsage x="-1"/>
        <fieldUsage x="0"/>
      </fieldsUsage>
    </cacheHierarchy>
    <cacheHierarchy uniqueName="[Data_Tracking___Test_file__1].[Month]" caption="Month" attribute="1" defaultMemberUniqueName="[Data_Tracking___Test_file__1].[Month].[All]" allUniqueName="[Data_Tracking___Test_file__1].[Month].[All]" dimensionUniqueName="[Data_Tracking___Test_file__1]" displayFolder="" count="0"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0" memberValueDatatype="130" unbalanced="0"/>
    <cacheHierarchy uniqueName="[Data_Tracking___Test_file__1].[JobType]" caption="JobType" attribute="1" defaultMemberUniqueName="[Data_Tracking___Test_file__1].[JobType].[All]" allUniqueName="[Data_Tracking___Test_file__1].[JobType].[All]" dimensionUniqueName="[Data_Tracking___Test_file__1]" displayFolder="" count="0" memberValueDatatype="130" unbalanced="0"/>
    <cacheHierarchy uniqueName="[Data_Tracking___Test_file__1].[JobStatus]" caption="JobStatus" attribute="1" defaultMemberUniqueName="[Data_Tracking___Test_file__1].[JobStatus].[All]" allUniqueName="[Data_Tracking___Test_file__1].[JobStatus].[All]" dimensionUniqueName="[Data_Tracking___Test_file__1]" displayFolder="" count="0" memberValueDatatype="130" unbalanced="0"/>
    <cacheHierarchy uniqueName="[Data_Tracking___Test_file__1].[CreatedBy]" caption="CreatedBy" attribute="1" defaultMemberUniqueName="[Data_Tracking___Test_file__1].[CreatedBy].[All]" allUniqueName="[Data_Tracking___Test_file__1].[CreatedBy].[All]" dimensionUniqueName="[Data_Tracking___Test_file__1]" displayFolder="" count="0" memberValueDatatype="130" unbalanced="0"/>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0"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0"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0"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0"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0" memberValueDatatype="130" unbalanced="0"/>
    <cacheHierarchy uniqueName="[Data_Tracking___Test_file__1].[Zip]" caption="Zip" attribute="1" defaultMemberUniqueName="[Data_Tracking___Test_file__1].[Zip].[All]" allUniqueName="[Data_Tracking___Test_file__1].[Zip].[All]" dimensionUniqueName="[Data_Tracking___Test_file__1]" displayFolder="" count="0"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0"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0"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0"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0"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2" memberValueDatatype="130" unbalanced="0">
      <fieldsUsage count="2">
        <fieldUsage x="-1"/>
        <fieldUsage x="2"/>
      </fieldsUsage>
    </cacheHierarchy>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2" memberValueDatatype="130" unbalanced="0">
      <fieldsUsage count="2">
        <fieldUsage x="-1"/>
        <fieldUsage x="3"/>
      </fieldsUsage>
    </cacheHierarchy>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0"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0"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hidden="1">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hidden="1">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hidden="1">
      <extLst>
        <ext xmlns:x15="http://schemas.microsoft.com/office/spreadsheetml/2010/11/main" uri="{B97F6D7D-B522-45F9-BDA1-12C45D357490}">
          <x15:cacheHierarchy aggregatedColumn="15"/>
        </ext>
      </extLst>
    </cacheHierarchy>
  </cacheHierarchies>
  <kpis count="0"/>
  <dimensions count="2">
    <dimension name="Data_Tracking___Test_file__1" uniqueName="[Data_Tracking___Test_file__1]" caption="Data_Tracking___Test_file__1"/>
    <dimension measure="1" name="Measures" uniqueName="[Measures]" caption="Measures"/>
  </dimensions>
  <measureGroups count="1">
    <measureGroup name="Data_Tracking___Test_file__1" caption="Data_Tracking___Test_file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11062731485" backgroundQuery="1" createdVersion="8" refreshedVersion="8" minRefreshableVersion="3" recordCount="0" supportSubquery="1" supportAdvancedDrill="1" xr:uid="{B7BB9294-02F2-4FB6-B051-3D308A0D7A15}">
  <cacheSource type="external" connectionId="3"/>
  <cacheFields count="2">
    <cacheField name="[Measures].[Sum of SubTotal]" caption="Sum of SubTotal" numFmtId="0" hierarchy="22" level="32767"/>
    <cacheField name="[Data_Tracking___Test_file__1].[Day].[Day]" caption="Day" numFmtId="0" hierarchy="2" level="1">
      <sharedItems count="6">
        <s v="Friday"/>
        <s v="Monday"/>
        <s v="Saturday"/>
        <s v="Thursday"/>
        <s v="Tuesday"/>
        <s v="Wednesday"/>
      </sharedItems>
    </cacheField>
  </cacheFields>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0" memberValueDatatype="7" unbalanced="0"/>
    <cacheHierarchy uniqueName="[Data_Tracking___Test_file__1].[Month]" caption="Month" attribute="1" defaultMemberUniqueName="[Data_Tracking___Test_file__1].[Month].[All]" allUniqueName="[Data_Tracking___Test_file__1].[Month].[All]" dimensionUniqueName="[Data_Tracking___Test_file__1]" displayFolder="" count="0"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2" memberValueDatatype="130" unbalanced="0">
      <fieldsUsage count="2">
        <fieldUsage x="-1"/>
        <fieldUsage x="1"/>
      </fieldsUsage>
    </cacheHierarchy>
    <cacheHierarchy uniqueName="[Data_Tracking___Test_file__1].[JobType]" caption="JobType" attribute="1" defaultMemberUniqueName="[Data_Tracking___Test_file__1].[JobType].[All]" allUniqueName="[Data_Tracking___Test_file__1].[JobType].[All]" dimensionUniqueName="[Data_Tracking___Test_file__1]" displayFolder="" count="0" memberValueDatatype="130" unbalanced="0"/>
    <cacheHierarchy uniqueName="[Data_Tracking___Test_file__1].[JobStatus]" caption="JobStatus" attribute="1" defaultMemberUniqueName="[Data_Tracking___Test_file__1].[JobStatus].[All]" allUniqueName="[Data_Tracking___Test_file__1].[JobStatus].[All]" dimensionUniqueName="[Data_Tracking___Test_file__1]" displayFolder="" count="0" memberValueDatatype="130" unbalanced="0"/>
    <cacheHierarchy uniqueName="[Data_Tracking___Test_file__1].[CreatedBy]" caption="CreatedBy" attribute="1" defaultMemberUniqueName="[Data_Tracking___Test_file__1].[CreatedBy].[All]" allUniqueName="[Data_Tracking___Test_file__1].[CreatedBy].[All]" dimensionUniqueName="[Data_Tracking___Test_file__1]" displayFolder="" count="0" memberValueDatatype="130" unbalanced="0"/>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0"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0"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0"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0"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0" memberValueDatatype="130" unbalanced="0"/>
    <cacheHierarchy uniqueName="[Data_Tracking___Test_file__1].[Zip]" caption="Zip" attribute="1" defaultMemberUniqueName="[Data_Tracking___Test_file__1].[Zip].[All]" allUniqueName="[Data_Tracking___Test_file__1].[Zip].[All]" dimensionUniqueName="[Data_Tracking___Test_file__1]" displayFolder="" count="0"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0"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0"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0"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0"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0" memberValueDatatype="130" unbalanced="0"/>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0" memberValueDatatype="130" unbalanced="0"/>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0"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0"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hidden="1">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hidden="1">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hidden="1">
      <extLst>
        <ext xmlns:x15="http://schemas.microsoft.com/office/spreadsheetml/2010/11/main" uri="{B97F6D7D-B522-45F9-BDA1-12C45D357490}">
          <x15:cacheHierarchy aggregatedColumn="15"/>
        </ext>
      </extLst>
    </cacheHierarchy>
  </cacheHierarchies>
  <kpis count="0"/>
  <dimensions count="2">
    <dimension name="Data_Tracking___Test_file__1" uniqueName="[Data_Tracking___Test_file__1]" caption="Data_Tracking___Test_file__1"/>
    <dimension measure="1" name="Measures" uniqueName="[Measures]" caption="Measures"/>
  </dimensions>
  <measureGroups count="1">
    <measureGroup name="Data_Tracking___Test_file__1" caption="Data_Tracking___Test_file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18080092594" backgroundQuery="1" createdVersion="8" refreshedVersion="8" minRefreshableVersion="3" recordCount="0" supportSubquery="1" supportAdvancedDrill="1" xr:uid="{B43A12B5-D5DD-40D9-88E4-F061C06666C5}">
  <cacheSource type="external" connectionId="3"/>
  <cacheFields count="3">
    <cacheField name="[Measures].[Sum of SubTotal]" caption="Sum of SubTotal" numFmtId="0" hierarchy="22" level="32767"/>
    <cacheField name="[Data_Tracking___Test_file__1].[CreatedBy].[CreatedBy]" caption="CreatedBy" numFmtId="0" hierarchy="5" level="1">
      <sharedItems count="3">
        <s v="Adam Smith"/>
        <s v="Devin James"/>
        <s v="Lou Mcdonalds"/>
      </sharedItems>
    </cacheField>
    <cacheField name="[Data_Tracking___Test_file__1].[JobType].[JobType]" caption="JobType" numFmtId="0" hierarchy="3" level="1">
      <sharedItems containsSemiMixedTypes="0" containsNonDate="0" containsString="0"/>
    </cacheField>
  </cacheFields>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2" memberValueDatatype="7" unbalanced="0"/>
    <cacheHierarchy uniqueName="[Data_Tracking___Test_file__1].[Month]" caption="Month" attribute="1" defaultMemberUniqueName="[Data_Tracking___Test_file__1].[Month].[All]" allUniqueName="[Data_Tracking___Test_file__1].[Month].[All]" dimensionUniqueName="[Data_Tracking___Test_file__1]" displayFolder="" count="2"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2" memberValueDatatype="130" unbalanced="0"/>
    <cacheHierarchy uniqueName="[Data_Tracking___Test_file__1].[JobType]" caption="JobType" attribute="1" defaultMemberUniqueName="[Data_Tracking___Test_file__1].[JobType].[All]" allUniqueName="[Data_Tracking___Test_file__1].[JobType].[All]" dimensionUniqueName="[Data_Tracking___Test_file__1]" displayFolder="" count="2" memberValueDatatype="130" unbalanced="0">
      <fieldsUsage count="2">
        <fieldUsage x="-1"/>
        <fieldUsage x="2"/>
      </fieldsUsage>
    </cacheHierarchy>
    <cacheHierarchy uniqueName="[Data_Tracking___Test_file__1].[JobStatus]" caption="JobStatus" attribute="1" defaultMemberUniqueName="[Data_Tracking___Test_file__1].[JobStatus].[All]" allUniqueName="[Data_Tracking___Test_file__1].[JobStatus].[All]" dimensionUniqueName="[Data_Tracking___Test_file__1]" displayFolder="" count="2" memberValueDatatype="130" unbalanced="0"/>
    <cacheHierarchy uniqueName="[Data_Tracking___Test_file__1].[CreatedBy]" caption="CreatedBy" attribute="1" defaultMemberUniqueName="[Data_Tracking___Test_file__1].[CreatedBy].[All]" allUniqueName="[Data_Tracking___Test_file__1].[CreatedBy].[All]" dimensionUniqueName="[Data_Tracking___Test_file__1]" displayFolder="" count="2" memberValueDatatype="130" unbalanced="0">
      <fieldsUsage count="2">
        <fieldUsage x="-1"/>
        <fieldUsage x="1"/>
      </fieldsUsage>
    </cacheHierarchy>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2"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2"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2"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2"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2" memberValueDatatype="130" unbalanced="0"/>
    <cacheHierarchy uniqueName="[Data_Tracking___Test_file__1].[Zip]" caption="Zip" attribute="1" defaultMemberUniqueName="[Data_Tracking___Test_file__1].[Zip].[All]" allUniqueName="[Data_Tracking___Test_file__1].[Zip].[All]" dimensionUniqueName="[Data_Tracking___Test_file__1]" displayFolder="" count="2"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2"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2"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2"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2"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2" memberValueDatatype="130" unbalanced="0"/>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2" memberValueDatatype="130" unbalanced="0"/>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2"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2"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hidden="1">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hidden="1">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hidden="1">
      <extLst>
        <ext xmlns:x15="http://schemas.microsoft.com/office/spreadsheetml/2010/11/main" uri="{B97F6D7D-B522-45F9-BDA1-12C45D357490}">
          <x15:cacheHierarchy aggregatedColumn="15"/>
        </ext>
      </extLst>
    </cacheHierarchy>
  </cacheHierarchies>
  <kpis count="0"/>
  <dimensions count="2">
    <dimension name="Data_Tracking___Test_file__1" uniqueName="[Data_Tracking___Test_file__1]" caption="Data_Tracking___Test_file__1"/>
    <dimension measure="1" name="Measures" uniqueName="[Measures]" caption="Measures"/>
  </dimensions>
  <measureGroups count="1">
    <measureGroup name="Data_Tracking___Test_file__1" caption="Data_Tracking___Test_file_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12515162036" backgroundQuery="1" createdVersion="3" refreshedVersion="8" minRefreshableVersion="3" recordCount="0" supportSubquery="1" supportAdvancedDrill="1" xr:uid="{C679D74A-CEAA-4157-81E6-5CA1BFFD6B0A}">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2" memberValueDatatype="7" unbalanced="0"/>
    <cacheHierarchy uniqueName="[Data_Tracking___Test_file__1].[Month]" caption="Month" attribute="1" defaultMemberUniqueName="[Data_Tracking___Test_file__1].[Month].[All]" allUniqueName="[Data_Tracking___Test_file__1].[Month].[All]" dimensionUniqueName="[Data_Tracking___Test_file__1]" displayFolder="" count="0"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0" memberValueDatatype="130" unbalanced="0"/>
    <cacheHierarchy uniqueName="[Data_Tracking___Test_file__1].[JobType]" caption="JobType" attribute="1" defaultMemberUniqueName="[Data_Tracking___Test_file__1].[JobType].[All]" allUniqueName="[Data_Tracking___Test_file__1].[JobType].[All]" dimensionUniqueName="[Data_Tracking___Test_file__1]" displayFolder="" count="2" memberValueDatatype="130" unbalanced="0"/>
    <cacheHierarchy uniqueName="[Data_Tracking___Test_file__1].[JobStatus]" caption="JobStatus" attribute="1" defaultMemberUniqueName="[Data_Tracking___Test_file__1].[JobStatus].[All]" allUniqueName="[Data_Tracking___Test_file__1].[JobStatus].[All]" dimensionUniqueName="[Data_Tracking___Test_file__1]" displayFolder="" count="0" memberValueDatatype="130" unbalanced="0"/>
    <cacheHierarchy uniqueName="[Data_Tracking___Test_file__1].[CreatedBy]" caption="CreatedBy" attribute="1" defaultMemberUniqueName="[Data_Tracking___Test_file__1].[CreatedBy].[All]" allUniqueName="[Data_Tracking___Test_file__1].[CreatedBy].[All]" dimensionUniqueName="[Data_Tracking___Test_file__1]" displayFolder="" count="0" memberValueDatatype="130" unbalanced="0"/>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0"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0"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0"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0"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2" memberValueDatatype="130" unbalanced="0"/>
    <cacheHierarchy uniqueName="[Data_Tracking___Test_file__1].[Zip]" caption="Zip" attribute="1" defaultMemberUniqueName="[Data_Tracking___Test_file__1].[Zip].[All]" allUniqueName="[Data_Tracking___Test_file__1].[Zip].[All]" dimensionUniqueName="[Data_Tracking___Test_file__1]" displayFolder="" count="0"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0"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0"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0"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0"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0" memberValueDatatype="130" unbalanced="0"/>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0" memberValueDatatype="130" unbalanced="0"/>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0"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0"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hidden="1">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hidden="1">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hidden="1">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408780724"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arning Impact NG" refreshedDate="45912.613591782407" backgroundQuery="1" createdVersion="3" refreshedVersion="8" minRefreshableVersion="3" recordCount="0" supportSubquery="1" supportAdvancedDrill="1" xr:uid="{D527FD7B-7001-4BF0-9E47-B4F81B468552}">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Data_Tracking___Test_file__1].[EstDateTimeStart]" caption="EstDateTimeStart" attribute="1" time="1" defaultMemberUniqueName="[Data_Tracking___Test_file__1].[EstDateTimeStart].[All]" allUniqueName="[Data_Tracking___Test_file__1].[EstDateTimeStart].[All]" dimensionUniqueName="[Data_Tracking___Test_file__1]" displayFolder="" count="2" memberValueDatatype="7" unbalanced="0"/>
    <cacheHierarchy uniqueName="[Data_Tracking___Test_file__1].[Month]" caption="Month" attribute="1" defaultMemberUniqueName="[Data_Tracking___Test_file__1].[Month].[All]" allUniqueName="[Data_Tracking___Test_file__1].[Month].[All]" dimensionUniqueName="[Data_Tracking___Test_file__1]" displayFolder="" count="0" memberValueDatatype="130" unbalanced="0"/>
    <cacheHierarchy uniqueName="[Data_Tracking___Test_file__1].[Day]" caption="Day" attribute="1" defaultMemberUniqueName="[Data_Tracking___Test_file__1].[Day].[All]" allUniqueName="[Data_Tracking___Test_file__1].[Day].[All]" dimensionUniqueName="[Data_Tracking___Test_file__1]" displayFolder="" count="0" memberValueDatatype="130" unbalanced="0"/>
    <cacheHierarchy uniqueName="[Data_Tracking___Test_file__1].[JobType]" caption="JobType" attribute="1" defaultMemberUniqueName="[Data_Tracking___Test_file__1].[JobType].[All]" allUniqueName="[Data_Tracking___Test_file__1].[JobType].[All]" dimensionUniqueName="[Data_Tracking___Test_file__1]" displayFolder="" count="0" memberValueDatatype="130" unbalanced="0"/>
    <cacheHierarchy uniqueName="[Data_Tracking___Test_file__1].[JobStatus]" caption="JobStatus" attribute="1" defaultMemberUniqueName="[Data_Tracking___Test_file__1].[JobStatus].[All]" allUniqueName="[Data_Tracking___Test_file__1].[JobStatus].[All]" dimensionUniqueName="[Data_Tracking___Test_file__1]" displayFolder="" count="0" memberValueDatatype="130" unbalanced="0"/>
    <cacheHierarchy uniqueName="[Data_Tracking___Test_file__1].[CreatedBy]" caption="CreatedBy" attribute="1" defaultMemberUniqueName="[Data_Tracking___Test_file__1].[CreatedBy].[All]" allUniqueName="[Data_Tracking___Test_file__1].[CreatedBy].[All]" dimensionUniqueName="[Data_Tracking___Test_file__1]" displayFolder="" count="0" memberValueDatatype="130" unbalanced="0"/>
    <cacheHierarchy uniqueName="[Data_Tracking___Test_file__1].[Technicians]" caption="Technicians" attribute="1" defaultMemberUniqueName="[Data_Tracking___Test_file__1].[Technicians].[All]" allUniqueName="[Data_Tracking___Test_file__1].[Technicians].[All]" dimensionUniqueName="[Data_Tracking___Test_file__1]" displayFolder="" count="0" memberValueDatatype="130" unbalanced="0"/>
    <cacheHierarchy uniqueName="[Data_Tracking___Test_file__1].[AccountName]" caption="AccountName" attribute="1" defaultMemberUniqueName="[Data_Tracking___Test_file__1].[AccountName].[All]" allUniqueName="[Data_Tracking___Test_file__1].[AccountName].[All]" dimensionUniqueName="[Data_Tracking___Test_file__1]" displayFolder="" count="0" memberValueDatatype="130" unbalanced="0"/>
    <cacheHierarchy uniqueName="[Data_Tracking___Test_file__1].[Address1]" caption="Address1" attribute="1" defaultMemberUniqueName="[Data_Tracking___Test_file__1].[Address1].[All]" allUniqueName="[Data_Tracking___Test_file__1].[Address1].[All]" dimensionUniqueName="[Data_Tracking___Test_file__1]" displayFolder="" count="0" memberValueDatatype="130" unbalanced="0"/>
    <cacheHierarchy uniqueName="[Data_Tracking___Test_file__1].[City]" caption="City" attribute="1" defaultMemberUniqueName="[Data_Tracking___Test_file__1].[City].[All]" allUniqueName="[Data_Tracking___Test_file__1].[City].[All]" dimensionUniqueName="[Data_Tracking___Test_file__1]" displayFolder="" count="0" memberValueDatatype="130" unbalanced="0"/>
    <cacheHierarchy uniqueName="[Data_Tracking___Test_file__1].[Region]" caption="Region" attribute="1" defaultMemberUniqueName="[Data_Tracking___Test_file__1].[Region].[All]" allUniqueName="[Data_Tracking___Test_file__1].[Region].[All]" dimensionUniqueName="[Data_Tracking___Test_file__1]" displayFolder="" count="0" memberValueDatatype="130" unbalanced="0"/>
    <cacheHierarchy uniqueName="[Data_Tracking___Test_file__1].[Zip]" caption="Zip" attribute="1" defaultMemberUniqueName="[Data_Tracking___Test_file__1].[Zip].[All]" allUniqueName="[Data_Tracking___Test_file__1].[Zip].[All]" dimensionUniqueName="[Data_Tracking___Test_file__1]" displayFolder="" count="0" memberValueDatatype="130" unbalanced="0"/>
    <cacheHierarchy uniqueName="[Data_Tracking___Test_file__1].[OrderType]" caption="OrderType" attribute="1" defaultMemberUniqueName="[Data_Tracking___Test_file__1].[OrderType].[All]" allUniqueName="[Data_Tracking___Test_file__1].[OrderType].[All]" dimensionUniqueName="[Data_Tracking___Test_file__1]" displayFolder="" count="0" memberValueDatatype="130" unbalanced="0"/>
    <cacheHierarchy uniqueName="[Data_Tracking___Test_file__1].[OrderNumber]" caption="OrderNumber" attribute="1" defaultMemberUniqueName="[Data_Tracking___Test_file__1].[OrderNumber].[All]" allUniqueName="[Data_Tracking___Test_file__1].[OrderNumber].[All]" dimensionUniqueName="[Data_Tracking___Test_file__1]" displayFolder="" count="0" memberValueDatatype="20" unbalanced="0"/>
    <cacheHierarchy uniqueName="[Data_Tracking___Test_file__1].[DateCreated]" caption="DateCreated" attribute="1" time="1" defaultMemberUniqueName="[Data_Tracking___Test_file__1].[DateCreated].[All]" allUniqueName="[Data_Tracking___Test_file__1].[DateCreated].[All]" dimensionUniqueName="[Data_Tracking___Test_file__1]" displayFolder="" count="0" memberValueDatatype="7" unbalanced="0"/>
    <cacheHierarchy uniqueName="[Data_Tracking___Test_file__1].[SubTotal]" caption="SubTotal" attribute="1" defaultMemberUniqueName="[Data_Tracking___Test_file__1].[SubTotal].[All]" allUniqueName="[Data_Tracking___Test_file__1].[SubTotal].[All]" dimensionUniqueName="[Data_Tracking___Test_file__1]" displayFolder="" count="0" memberValueDatatype="5" unbalanced="0"/>
    <cacheHierarchy uniqueName="[Data_Tracking___Test_file__1].[EstDateTimeStart (Month)]" caption="EstDateTimeStart (Month)" attribute="1" defaultMemberUniqueName="[Data_Tracking___Test_file__1].[EstDateTimeStart (Month)].[All]" allUniqueName="[Data_Tracking___Test_file__1].[EstDateTimeStart (Month)].[All]" dimensionUniqueName="[Data_Tracking___Test_file__1]" displayFolder="" count="0" memberValueDatatype="130" unbalanced="0"/>
    <cacheHierarchy uniqueName="[Data_Tracking___Test_file__1].[EstDateTimeStart (Day)]" caption="EstDateTimeStart (Day)" attribute="1" defaultMemberUniqueName="[Data_Tracking___Test_file__1].[EstDateTimeStart (Day)].[All]" allUniqueName="[Data_Tracking___Test_file__1].[EstDateTimeStart (Day)].[All]" dimensionUniqueName="[Data_Tracking___Test_file__1]" displayFolder="" count="0" memberValueDatatype="130" unbalanced="0"/>
    <cacheHierarchy uniqueName="[Data_Tracking___Test_file__1].[EstDateTimeStart (Day Index)]" caption="EstDateTimeStart (Day Index)" attribute="1" defaultMemberUniqueName="[Data_Tracking___Test_file__1].[EstDateTimeStart (Day Index)].[All]" allUniqueName="[Data_Tracking___Test_file__1].[EstDateTimeStart (Day Index)].[All]" dimensionUniqueName="[Data_Tracking___Test_file__1]" displayFolder="" count="0" memberValueDatatype="5" unbalanced="0" hidden="1"/>
    <cacheHierarchy uniqueName="[Data_Tracking___Test_file__1].[EstDateTimeStart (Month Index)]" caption="EstDateTimeStart (Month Index)" attribute="1" defaultMemberUniqueName="[Data_Tracking___Test_file__1].[EstDateTimeStart (Month Index)].[All]" allUniqueName="[Data_Tracking___Test_file__1].[EstDateTimeStart (Month Index)].[All]" dimensionUniqueName="[Data_Tracking___Test_file__1]" displayFolder="" count="0" memberValueDatatype="20" unbalanced="0" hidden="1"/>
    <cacheHierarchy uniqueName="[Measures].[__XL_Count Data_Tracking___Test_file__1]" caption="__XL_Count Data_Tracking___Test_file__1" measure="1" displayFolder="" measureGroup="Data_Tracking___Test_file__1" count="0" hidden="1"/>
    <cacheHierarchy uniqueName="[Measures].[__No measures defined]" caption="__No measures defined" measure="1" displayFolder="" count="0" hidden="1"/>
    <cacheHierarchy uniqueName="[Measures].[Sum of SubTotal]" caption="Sum of SubTotal" measure="1" displayFolder="" measureGroup="Data_Tracking___Test_file__1" count="0" hidden="1">
      <extLst>
        <ext xmlns:x15="http://schemas.microsoft.com/office/spreadsheetml/2010/11/main" uri="{B97F6D7D-B522-45F9-BDA1-12C45D357490}">
          <x15:cacheHierarchy aggregatedColumn="15"/>
        </ext>
      </extLst>
    </cacheHierarchy>
    <cacheHierarchy uniqueName="[Measures].[Count of CreatedBy]" caption="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Status]" caption="Count of JobStatus" measure="1" displayFolder="" measureGroup="Data_Tracking___Test_file__1" count="0" hidden="1">
      <extLst>
        <ext xmlns:x15="http://schemas.microsoft.com/office/spreadsheetml/2010/11/main" uri="{B97F6D7D-B522-45F9-BDA1-12C45D357490}">
          <x15:cacheHierarchy aggregatedColumn="4"/>
        </ext>
      </extLst>
    </cacheHierarchy>
    <cacheHierarchy uniqueName="[Measures].[Distinct Count of CreatedBy]" caption="Distinct Count of CreatedBy" measure="1" displayFolder="" measureGroup="Data_Tracking___Test_file__1" count="0" hidden="1">
      <extLst>
        <ext xmlns:x15="http://schemas.microsoft.com/office/spreadsheetml/2010/11/main" uri="{B97F6D7D-B522-45F9-BDA1-12C45D357490}">
          <x15:cacheHierarchy aggregatedColumn="5"/>
        </ext>
      </extLst>
    </cacheHierarchy>
    <cacheHierarchy uniqueName="[Measures].[Count of JobType]" caption="Count of JobType" measure="1" displayFolder="" measureGroup="Data_Tracking___Test_file__1" count="0" hidden="1">
      <extLst>
        <ext xmlns:x15="http://schemas.microsoft.com/office/spreadsheetml/2010/11/main" uri="{B97F6D7D-B522-45F9-BDA1-12C45D357490}">
          <x15:cacheHierarchy aggregatedColumn="3"/>
        </ext>
      </extLst>
    </cacheHierarchy>
    <cacheHierarchy uniqueName="[Measures].[Average of SubTotal]" caption="Average of SubTotal" measure="1" displayFolder="" measureGroup="Data_Tracking___Test_file__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19689944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024180-285B-4F97-A32E-496C8964E764}" name="PivotTable19" cacheId="2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Average revenue per Job" fld="0" subtotal="average" baseField="0" baseItem="0" numFmtId="1"/>
  </dataFields>
  <formats count="1">
    <format dxfId="6">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SubTotal)"/>
    <pivotHierarchy dragToData="1"/>
    <pivotHierarchy dragToData="1"/>
    <pivotHierarchy dragToData="1"/>
    <pivotHierarchy dragToData="1"/>
    <pivotHierarchy dragToData="1" caption="Average revenue per Job"/>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_Tracking___Test_file__1">
        <x15:activeTabTopLevelEntity name="[Data_Tracking___Test_fil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EB84EA-A076-4711-9216-EBBA5C3539EB}" name="PivotTable18" cacheId="2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Sales Rep according to Performance">
  <location ref="D13:E23" firstHeaderRow="1" firstDataRow="1" firstDataCol="1"/>
  <pivotFields count="2">
    <pivotField dataField="1" subtotalTop="0" showAll="0" defaultSubtotal="0"/>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s>
  <rowFields count="1">
    <field x="1"/>
  </rowFields>
  <rowItems count="10">
    <i>
      <x v="1"/>
    </i>
    <i>
      <x v="8"/>
    </i>
    <i>
      <x v="5"/>
    </i>
    <i>
      <x v="7"/>
    </i>
    <i>
      <x v="2"/>
    </i>
    <i>
      <x v="6"/>
    </i>
    <i>
      <x/>
    </i>
    <i>
      <x v="3"/>
    </i>
    <i>
      <x v="4"/>
    </i>
    <i t="grand">
      <x/>
    </i>
  </rowItems>
  <colItems count="1">
    <i/>
  </colItems>
  <dataFields count="1">
    <dataField name="Sum of SubTotal" fld="0" baseField="0" baseItem="0" numFmtId="1"/>
  </dataFields>
  <formats count="1">
    <format dxfId="7">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1" count="9">
              <x v="0"/>
              <x v="1"/>
              <x v="2"/>
              <x v="3"/>
              <x v="4"/>
              <x v="5"/>
              <x v="6"/>
              <x v="7"/>
              <x v="8"/>
            </reference>
          </references>
        </pivotArea>
      </pivotAreas>
    </conditionalFormat>
  </conditional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_Tracking___Test_file__1">
        <x15:activeTabTopLevelEntity name="[Data_Tracking___Test_fil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66B2E3-9E24-44D2-8B6E-E1EBF0C0F7EF}" name="PivotTable17" cacheId="2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Dates">
  <location ref="D40:E62" firstHeaderRow="1" firstDataRow="1" firstDataCol="1"/>
  <pivotFields count="4">
    <pivotField axis="axisRow" allDrilled="1" subtotalTop="0" showAll="0" dataSourceSort="1" defaultSubtotal="0" defaultAttributeDrillState="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s>
    </pivotField>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items count="19">
        <item x="0" e="0"/>
        <item x="1" e="0"/>
        <item x="2" e="0"/>
        <item x="3" e="0"/>
        <item x="4" e="0"/>
        <item x="5" e="0"/>
        <item x="6" e="0"/>
        <item x="7" e="0"/>
        <item x="8" e="0"/>
        <item x="9" e="0"/>
        <item x="10" e="0"/>
        <item x="11" e="0"/>
        <item x="12" e="0"/>
        <item x="13" e="0"/>
        <item x="14" e="0"/>
        <item x="15" e="0"/>
        <item x="16" e="0"/>
        <item x="17" e="0"/>
        <item x="18" e="0"/>
      </items>
    </pivotField>
  </pivotFields>
  <rowFields count="3">
    <field x="2"/>
    <field x="3"/>
    <field x="0"/>
  </rowFields>
  <rowItems count="22">
    <i>
      <x/>
    </i>
    <i r="1">
      <x/>
    </i>
    <i>
      <x v="1"/>
    </i>
    <i r="1">
      <x v="1"/>
    </i>
    <i r="1">
      <x v="2"/>
    </i>
    <i r="1">
      <x v="3"/>
    </i>
    <i r="1">
      <x v="4"/>
    </i>
    <i r="1">
      <x v="5"/>
    </i>
    <i r="1">
      <x v="6"/>
    </i>
    <i r="1">
      <x v="7"/>
    </i>
    <i r="1">
      <x v="8"/>
    </i>
    <i r="1">
      <x v="9"/>
    </i>
    <i r="1">
      <x v="10"/>
    </i>
    <i r="1">
      <x v="11"/>
    </i>
    <i r="1">
      <x v="12"/>
    </i>
    <i r="1">
      <x v="13"/>
    </i>
    <i r="1">
      <x v="14"/>
    </i>
    <i r="1">
      <x v="15"/>
    </i>
    <i r="1">
      <x v="16"/>
    </i>
    <i r="1">
      <x v="17"/>
    </i>
    <i r="1">
      <x v="18"/>
    </i>
    <i t="grand">
      <x/>
    </i>
  </rowItems>
  <colItems count="1">
    <i/>
  </colItems>
  <dataFields count="1">
    <dataField name="Count of JobType" fld="1" subtotal="count" baseField="0" baseItem="0"/>
  </dataFields>
  <formats count="1">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6"/>
    <rowHierarchyUsage hierarchyUsage="17"/>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_Tracking___Test_file__1">
        <x15:activeTabTopLevelEntity name="[Data_Tracking___Test_fil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583F8F-6393-4160-A7D8-E6C378F3AD1F}" name="PivotTable16" cacheId="2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Dates">
  <location ref="A40:B62" firstHeaderRow="1" firstDataRow="1" firstDataCol="1"/>
  <pivotFields count="4">
    <pivotField dataField="1" subtotalTop="0" showAll="0" defaultSubtotal="0"/>
    <pivotField axis="axisRow" allDrilled="1" subtotalTop="0" showAll="0" dataSourceSort="1" defaultSubtotal="0" defaultAttributeDrillState="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s>
    </pivotField>
    <pivotField axis="axisRow" allDrilled="1" subtotalTop="0" showAll="0" dataSourceSort="1" defaultSubtotal="0" defaultAttributeDrillState="1">
      <items count="2">
        <item x="0"/>
        <item x="1"/>
      </items>
    </pivotField>
    <pivotField axis="axisRow" allDrilled="1" subtotalTop="0" showAll="0" dataSourceSort="1" defaultSubtotal="0">
      <items count="19">
        <item x="0" e="0"/>
        <item x="1" e="0"/>
        <item x="2" e="0"/>
        <item x="3" e="0"/>
        <item x="4" e="0"/>
        <item x="5" e="0"/>
        <item x="6" e="0"/>
        <item x="7" e="0"/>
        <item x="8" e="0"/>
        <item x="9" e="0"/>
        <item x="10" e="0"/>
        <item x="11" e="0"/>
        <item x="12" e="0"/>
        <item x="13" e="0"/>
        <item x="14" e="0"/>
        <item x="15" e="0"/>
        <item x="16" e="0"/>
        <item x="17" e="0"/>
        <item x="18" e="0"/>
      </items>
    </pivotField>
  </pivotFields>
  <rowFields count="3">
    <field x="2"/>
    <field x="3"/>
    <field x="1"/>
  </rowFields>
  <rowItems count="22">
    <i>
      <x/>
    </i>
    <i r="1">
      <x/>
    </i>
    <i>
      <x v="1"/>
    </i>
    <i r="1">
      <x v="1"/>
    </i>
    <i r="1">
      <x v="2"/>
    </i>
    <i r="1">
      <x v="3"/>
    </i>
    <i r="1">
      <x v="4"/>
    </i>
    <i r="1">
      <x v="5"/>
    </i>
    <i r="1">
      <x v="6"/>
    </i>
    <i r="1">
      <x v="7"/>
    </i>
    <i r="1">
      <x v="8"/>
    </i>
    <i r="1">
      <x v="9"/>
    </i>
    <i r="1">
      <x v="10"/>
    </i>
    <i r="1">
      <x v="11"/>
    </i>
    <i r="1">
      <x v="12"/>
    </i>
    <i r="1">
      <x v="13"/>
    </i>
    <i r="1">
      <x v="14"/>
    </i>
    <i r="1">
      <x v="15"/>
    </i>
    <i r="1">
      <x v="16"/>
    </i>
    <i r="1">
      <x v="17"/>
    </i>
    <i r="1">
      <x v="18"/>
    </i>
    <i t="grand">
      <x/>
    </i>
  </rowItems>
  <colItems count="1">
    <i/>
  </colItems>
  <dataFields count="1">
    <dataField name="Revenue (SubTotal)" fld="0" baseField="2" baseItem="0" numFmtId="1"/>
  </dataFields>
  <formats count="1">
    <format dxfId="1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Sub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6"/>
    <rowHierarchyUsage hierarchyUsage="17"/>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_Tracking___Test_file__1">
        <x15:activeTabTopLevelEntity name="[Data_Tracking___Test_fil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B31133-5425-4235-AA36-0D8A685C6FD3}" name="PivotTable14" cacheId="2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Days of the Week">
  <location ref="D25:E32"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7">
    <i>
      <x v="1"/>
    </i>
    <i>
      <x v="4"/>
    </i>
    <i>
      <x/>
    </i>
    <i>
      <x v="5"/>
    </i>
    <i>
      <x v="2"/>
    </i>
    <i>
      <x v="3"/>
    </i>
    <i t="grand">
      <x/>
    </i>
  </rowItems>
  <colItems count="1">
    <i/>
  </colItems>
  <dataFields count="1">
    <dataField name="Revenue (SubTotal)" fld="0" baseField="0" baseItem="0" numFmtId="1"/>
  </dataFields>
  <formats count="1">
    <format dxfId="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Sub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_Tracking___Test_file__1">
        <x15:activeTabTopLevelEntity name="[Data_Tracking___Test_fil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08C717-843C-4AE0-B6B7-4C93B160C3D9}" name="PivotTable13" cacheId="2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rowHeaderCaption="Job type">
  <location ref="A25:B38" firstHeaderRow="1" firstDataRow="1" firstDataCol="1"/>
  <pivotFields count="2">
    <pivotField dataField="1" subtotalTop="0" showAll="0" defaultSubtotal="0"/>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s>
  <rowFields count="1">
    <field x="1"/>
  </rowFields>
  <rowItems count="13">
    <i>
      <x v="2"/>
    </i>
    <i>
      <x/>
    </i>
    <i>
      <x v="6"/>
    </i>
    <i>
      <x v="4"/>
    </i>
    <i>
      <x v="3"/>
    </i>
    <i>
      <x v="5"/>
    </i>
    <i>
      <x v="11"/>
    </i>
    <i>
      <x v="1"/>
    </i>
    <i>
      <x v="10"/>
    </i>
    <i>
      <x v="8"/>
    </i>
    <i>
      <x v="9"/>
    </i>
    <i>
      <x v="7"/>
    </i>
    <i t="grand">
      <x/>
    </i>
  </rowItems>
  <colItems count="1">
    <i/>
  </colItems>
  <dataFields count="1">
    <dataField name="Revenue (SubTotal)" fld="0" baseField="0" baseItem="0" numFmtId="1"/>
  </dataFields>
  <formats count="1">
    <format dxfId="1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Sub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_Tracking___Test_file__1">
        <x15:activeTabTopLevelEntity name="[Data_Tracking___Test_fil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B0C35B-A4C2-4F94-A7DD-B353FE1245FE}" name="PivotTable12" cacheId="2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Region">
  <location ref="A20:B23"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Revenue (SubTotal)" fld="0" baseField="0" baseItem="0" numFmtId="1"/>
  </dataFields>
  <formats count="1">
    <format dxfId="12">
      <pivotArea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1" count="2">
              <x v="0"/>
              <x v="1"/>
            </reference>
          </references>
        </pivotArea>
      </pivotAreas>
    </conditionalFormat>
  </conditional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Sub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_Tracking___Test_file__1">
        <x15:activeTabTopLevelEntity name="[Data_Tracking___Test_fil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2036E8-E6E1-4F7F-8F5F-DBE931CF264D}" name="PivotTable11" cacheId="28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rowHeaderCaption="Top 3 Sales Reps">
  <location ref="A14:B18" firstHeaderRow="1" firstDataRow="1" firstDataCol="1"/>
  <pivotFields count="3">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
    <i>
      <x v="1"/>
    </i>
    <i>
      <x/>
    </i>
    <i>
      <x v="2"/>
    </i>
    <i t="grand">
      <x/>
    </i>
  </rowItems>
  <colItems count="1">
    <i/>
  </colItems>
  <dataFields count="1">
    <dataField name="Revenue (SubTotal)" fld="0" baseField="0" baseItem="0" numFmtId="1"/>
  </dataFields>
  <formats count="1">
    <format dxfId="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5" level="1">
        <member name="[Data_Tracking___Test_file__1].[JobType].&amp;[Dryer Vent]"/>
        <member name="[Data_Tracking___Test_file__1].[JobType].&amp;[Duct &amp; Dryer]"/>
        <member name="[Data_Tracking___Test_file__1].[JobType].&amp;[Joseph Air Duct]"/>
        <member name="[Data_Tracking___Test_file__1].[JobType].&amp;[OTTAWA DUCT]"/>
        <member name="[Data_Tracking___Test_file__1].[JobType].&amp;[Portable Dry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Revenue (Sub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2">
      <autoFilter ref="A1">
        <filterColumn colId="0">
          <top10 val="3" filterVal="3"/>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_Tracking___Test_file__1">
        <x15:activeTabTopLevelEntity name="[Data_Tracking___Test_fil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17B015-1A68-40B3-9356-D29B12F6C32F}" name="PivotTable10" cacheId="2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B11"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Total Revemnue(SubTotal)" fld="1" baseField="0" baseItem="0"/>
    <dataField name="Distinct Count of CreatedBy" fld="0" subtotal="count" baseField="0" baseItem="0">
      <extLst>
        <ext xmlns:x15="http://schemas.microsoft.com/office/spreadsheetml/2010/11/main" uri="{FABC7310-3BB5-11E1-824E-6D434824019B}">
          <x15:dataField isCountDistinct="1"/>
        </ext>
      </extLst>
    </dataField>
  </dataFields>
  <formats count="1">
    <format dxfId="13">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mnue(SubTotal)"/>
    <pivotHierarchy dragToData="1"/>
    <pivotHierarchy dragToData="1"/>
    <pivotHierarchy dragToData="1" caption="Distinct Count of CreatedBy"/>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_Tracking___Test_file__1">
        <x15:activeTabTopLevelEntity name="[Data_Tracking___Test_fil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18A2F7-5163-4C08-B986-5A651946265C}" name="PivotTable9" cacheId="2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No.Completed Jobs">
  <location ref="A6:B8"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rowItems count="2">
    <i>
      <x/>
    </i>
    <i t="grand">
      <x/>
    </i>
  </rowItems>
  <colItems count="1">
    <i/>
  </colItems>
  <dataFields count="1">
    <dataField name="Count " fld="1"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_Tracking___Test_file__1">
        <x15:activeTabTopLevelEntity name="[Data_Tracking___Test_fil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4661A50-E9CE-4E8A-8DC8-5BED87E686C8}" name="PivotTable8" cacheId="2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Revenue(SubTotal)" fld="0" baseField="0" baseItem="0" numFmtId="1"/>
  </dataFields>
  <formats count="1">
    <format dxfId="14">
      <pivotArea outline="0" collapsedLevelsAreSubtotals="1" fieldPosition="0"/>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Revenue(SubTotal)"/>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_Tracking___Test_file__1">
        <x15:activeTabTopLevelEntity name="[Data_Tracking___Test_file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DC5368-CF6E-46EA-8BFF-93EFE89D686C}" autoFormatId="16" applyNumberFormats="0" applyBorderFormats="0" applyFontFormats="0" applyPatternFormats="0" applyAlignmentFormats="0" applyWidthHeightFormats="0">
  <queryTableRefresh nextId="17">
    <queryTableFields count="16">
      <queryTableField id="1" name="EstDateTimeStart" tableColumnId="1"/>
      <queryTableField id="2" name="Month" tableColumnId="2"/>
      <queryTableField id="3" name="Day" tableColumnId="3"/>
      <queryTableField id="4" name="JobType" tableColumnId="4"/>
      <queryTableField id="5" name="JobStatus" tableColumnId="5"/>
      <queryTableField id="6" name="CreatedBy" tableColumnId="6"/>
      <queryTableField id="7" name="Technicians" tableColumnId="7"/>
      <queryTableField id="8" name="AccountName" tableColumnId="8"/>
      <queryTableField id="9" name="Address1" tableColumnId="9"/>
      <queryTableField id="10" name="City" tableColumnId="10"/>
      <queryTableField id="16" dataBound="0" tableColumnId="16"/>
      <queryTableField id="11" name="Zip" tableColumnId="11"/>
      <queryTableField id="12" name="OrderType" tableColumnId="12"/>
      <queryTableField id="13" name="OrderNumber" tableColumnId="13"/>
      <queryTableField id="14" name="DateCreated" tableColumnId="14"/>
      <queryTableField id="15" name="SubTotal"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2075A27-FC83-41F0-8838-023BBBCBDDC2}" autoFormatId="16" applyNumberFormats="0" applyBorderFormats="0" applyFontFormats="0" applyPatternFormats="0" applyAlignmentFormats="0" applyWidthHeightFormats="0">
  <queryTableRefresh nextId="3">
    <queryTableFields count="2">
      <queryTableField id="1" name="City" tableColumnId="1"/>
      <queryTableField id="2" name="Region"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Type" xr10:uid="{6B9A61C9-CB17-4DC4-AB47-1991B4677F69}" sourceName="[Data_Tracking___Test_file__1].[JobType]">
  <pivotTables>
    <pivotTable tabId="5" name="PivotTable11"/>
  </pivotTables>
  <data>
    <olap pivotCacheId="408780724">
      <levels count="2">
        <level uniqueName="[Data_Tracking___Test_file__1].[JobType].[(All)]" sourceCaption="(All)" count="0"/>
        <level uniqueName="[Data_Tracking___Test_file__1].[JobType].[JobType]" sourceCaption="JobType" count="12">
          <ranges>
            <range startItem="0">
              <i n="[Data_Tracking___Test_file__1].[JobType].&amp;[Air Duct]" c="Air Duct"/>
              <i n="[Data_Tracking___Test_file__1].[JobType].&amp;[Commercial Estimate]" c="Commercial Estimate"/>
              <i n="[Data_Tracking___Test_file__1].[JobType].&amp;[Commercial Work]" c="Commercial Work"/>
              <i n="[Data_Tracking___Test_file__1].[JobType].&amp;[Dryer Vent]" c="Dryer Vent"/>
              <i n="[Data_Tracking___Test_file__1].[JobType].&amp;[Duct &amp; Dryer]" c="Duct &amp; Dryer"/>
              <i n="[Data_Tracking___Test_file__1].[JobType].&amp;[Joseph Air Duct]" c="Joseph Air Duct"/>
              <i n="[Data_Tracking___Test_file__1].[JobType].&amp;[OTTAWA DUCT]" c="OTTAWA DUCT"/>
              <i n="[Data_Tracking___Test_file__1].[JobType].&amp;[Portable Dryer]" c="Portable Dryer"/>
              <i n="[Data_Tracking___Test_file__1].[JobType].&amp;[Portable Duct]" c="Portable Duct"/>
              <i n="[Data_Tracking___Test_file__1].[JobType].&amp;[Repair Install Dryer]" c="Repair Install Dryer"/>
              <i n="[Data_Tracking___Test_file__1].[JobType].&amp;[Rework]" c="Rework"/>
              <i n="[Data_Tracking___Test_file__1].[JobType].&amp;[Work]" c="Work"/>
            </range>
          </ranges>
        </level>
      </levels>
      <selections count="5">
        <selection n="[Data_Tracking___Test_file__1].[JobType].&amp;[Dryer Vent]"/>
        <selection n="[Data_Tracking___Test_file__1].[JobType].&amp;[Duct &amp; Dryer]"/>
        <selection n="[Data_Tracking___Test_file__1].[JobType].&amp;[Joseph Air Duct]"/>
        <selection n="[Data_Tracking___Test_file__1].[JobType].&amp;[OTTAWA DUCT]"/>
        <selection n="[Data_Tracking___Test_file__1].[JobType].&amp;[Portable Drye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5CA59F-AE19-4598-9B54-8518D5D9B997}" sourceName="[Data_Tracking___Test_file__1].[Region]">
  <pivotTables>
    <pivotTable tabId="5" name="PivotTable11"/>
  </pivotTables>
  <data>
    <olap pivotCacheId="408780724">
      <levels count="2">
        <level uniqueName="[Data_Tracking___Test_file__1].[Region].[(All)]" sourceCaption="(All)" count="0"/>
        <level uniqueName="[Data_Tracking___Test_file__1].[Region].[Region]" sourceCaption="Region" count="2">
          <ranges>
            <range startItem="0">
              <i n="[Data_Tracking___Test_file__1].[Region].&amp;[Kingston]" c="Kingston"/>
              <i n="[Data_Tracking___Test_file__1].[Region].&amp;[Ottawa]" c="Ottawa"/>
            </range>
          </ranges>
        </level>
      </levels>
      <selections count="1">
        <selection n="[Data_Tracking___Test_file__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Type" xr10:uid="{77F9A42B-4BB2-4FFF-9351-006EB02B766B}" cache="Slicer_JobType" caption="JobType" startItem="3" level="1" style="SlicerStyleOther2" rowHeight="257175"/>
  <slicer name="Region" xr10:uid="{08BC3FDA-3D4D-4F69-9DC8-389B529D0C46}" cache="Slicer_Region" caption="Region" level="1" style="SlicerStyleOther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1CB09C-E580-433D-8AB8-3BFF7AB544A0}" name="Data_Tracking___Test_file__1" displayName="Data_Tracking___Test_file__1" ref="A1:P144" tableType="queryTable" totalsRowShown="0">
  <autoFilter ref="A1:P144" xr:uid="{BF1CB09C-E580-433D-8AB8-3BFF7AB544A0}">
    <filterColumn colId="10">
      <filters>
        <filter val="#N/A"/>
      </filters>
    </filterColumn>
  </autoFilter>
  <tableColumns count="16">
    <tableColumn id="1" xr3:uid="{CA5A4770-E53D-40D3-B2CD-52A42524C3BE}" uniqueName="1" name="EstDateTimeStart" queryTableFieldId="1" dataDxfId="30"/>
    <tableColumn id="2" xr3:uid="{68421BDD-DBD1-4E27-ADE4-DF4A142D1660}" uniqueName="2" name="Month" queryTableFieldId="2" dataDxfId="29"/>
    <tableColumn id="3" xr3:uid="{FDD4EDE2-8FFB-4263-8CBC-2CFE75B00A38}" uniqueName="3" name="Day" queryTableFieldId="3" dataDxfId="28"/>
    <tableColumn id="4" xr3:uid="{F1D26ABB-D388-483C-B82F-C7515C383FD1}" uniqueName="4" name="JobType" queryTableFieldId="4" dataDxfId="27"/>
    <tableColumn id="5" xr3:uid="{98500B3D-0413-44DA-B234-2748C255BCCF}" uniqueName="5" name="JobStatus" queryTableFieldId="5" dataDxfId="26"/>
    <tableColumn id="6" xr3:uid="{9800070F-235F-4C3C-8EDA-28061EEFE143}" uniqueName="6" name="CreatedBy" queryTableFieldId="6" dataDxfId="25"/>
    <tableColumn id="7" xr3:uid="{C60F72E3-7D9E-4F6D-9974-ACD3FDE8F9B9}" uniqueName="7" name="Technicians" queryTableFieldId="7" dataDxfId="24"/>
    <tableColumn id="8" xr3:uid="{EAC4A2B7-4EBD-4E33-9103-B3DF08ED377C}" uniqueName="8" name="AccountName" queryTableFieldId="8" dataDxfId="23"/>
    <tableColumn id="9" xr3:uid="{67B6A2C5-7BDA-444F-91A8-689761EB21E5}" uniqueName="9" name="Address1" queryTableFieldId="9" dataDxfId="22"/>
    <tableColumn id="10" xr3:uid="{BD4C6D6D-BE09-4AD6-AD4A-9281475CEBAF}" uniqueName="10" name="City" queryTableFieldId="10" dataDxfId="21"/>
    <tableColumn id="16" xr3:uid="{61008B1F-BF59-407F-84F9-A9F3E1139193}" uniqueName="16" name="Region" queryTableFieldId="16" dataDxfId="15">
      <calculatedColumnFormula>_xlfn.XLOOKUP(Data_Tracking___Test_file__1[[#This Row],[City]],'List of Regions'!$A$1:$A$107,'List of Regions'!$B$1:$B$107)</calculatedColumnFormula>
    </tableColumn>
    <tableColumn id="11" xr3:uid="{5A7DAEA7-9CFE-472B-9ABF-50696A3B5C3A}" uniqueName="11" name="Zip" queryTableFieldId="11" dataDxfId="20"/>
    <tableColumn id="12" xr3:uid="{F124E22C-FED1-4818-AB4B-C8D1EFA09125}" uniqueName="12" name="OrderType" queryTableFieldId="12" dataDxfId="19"/>
    <tableColumn id="13" xr3:uid="{D8ABDEB4-E6D0-4691-A539-7771DA11BE4C}" uniqueName="13" name="OrderNumber" queryTableFieldId="13"/>
    <tableColumn id="14" xr3:uid="{49FE403D-5320-447E-80D0-32F4223DC882}" uniqueName="14" name="DateCreated" queryTableFieldId="14" dataDxfId="18"/>
    <tableColumn id="15" xr3:uid="{2820FAA7-94D1-40A4-9DC4-37BB74B584A6}" uniqueName="15" name="SubTotal" queryTableField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4729BB-7E03-440D-82DE-D162D69B94C5}" name="List_of_Regions" displayName="List_of_Regions" ref="A1:B107" tableType="queryTable" totalsRowShown="0">
  <autoFilter ref="A1:B107" xr:uid="{524729BB-7E03-440D-82DE-D162D69B94C5}"/>
  <tableColumns count="2">
    <tableColumn id="1" xr3:uid="{809E9D6F-797F-46A3-93DC-87BEB9ADE18B}" uniqueName="1" name="City" queryTableFieldId="1" dataDxfId="17"/>
    <tableColumn id="2" xr3:uid="{77261978-9293-438E-8CCD-70AB7F7DF9B7}" uniqueName="2" name="Region" queryTableFieldId="2"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EstDateTimeStart" xr10:uid="{821DD966-981A-4889-8D92-1F0D58EC31DB}" sourceName="[Data_Tracking___Test_file__1].[EstDateTimeStart]">
  <pivotTables>
    <pivotTable tabId="5" name="PivotTable11"/>
  </pivotTables>
  <state minimalRefreshVersion="6" lastRefreshVersion="6" pivotCacheId="1968994466" filterType="unknown">
    <bounds startDate="2025-01-01T14:00:00" endDate="2026-01-01T14: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EstDateTimeStart" xr10:uid="{4CDA2F4E-2380-4CF8-B75B-D8A1A003E7ED}" cache="Timeline_EstDateTimeStart" caption="EstDateTimeStart" level="2" selectionLevel="2" scrollPosition="2025-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6980-A576-458F-AA65-F3312494872F}">
  <dimension ref="A1:P144"/>
  <sheetViews>
    <sheetView topLeftCell="H1" zoomScale="87" zoomScaleNormal="87" workbookViewId="0">
      <selection activeCell="J17" sqref="J17"/>
    </sheetView>
  </sheetViews>
  <sheetFormatPr defaultRowHeight="15" x14ac:dyDescent="0.25"/>
  <cols>
    <col min="1" max="1" width="19.28515625" bestFit="1" customWidth="1"/>
    <col min="2" max="2" width="9" bestFit="1" customWidth="1"/>
    <col min="3" max="3" width="11.140625" bestFit="1" customWidth="1"/>
    <col min="4" max="4" width="20" bestFit="1" customWidth="1"/>
    <col min="5" max="5" width="12" bestFit="1" customWidth="1"/>
    <col min="6" max="6" width="25" bestFit="1" customWidth="1"/>
    <col min="7" max="7" width="40" bestFit="1" customWidth="1"/>
    <col min="8" max="8" width="47.7109375" bestFit="1" customWidth="1"/>
    <col min="9" max="9" width="15.85546875" bestFit="1" customWidth="1"/>
    <col min="10" max="10" width="16" bestFit="1" customWidth="1"/>
    <col min="11" max="11" width="16" customWidth="1"/>
    <col min="12" max="12" width="8.85546875" bestFit="1" customWidth="1"/>
    <col min="13" max="13" width="12.7109375" bestFit="1" customWidth="1"/>
    <col min="14" max="14" width="15.85546875" bestFit="1" customWidth="1"/>
    <col min="15" max="15" width="14.85546875" bestFit="1" customWidth="1"/>
    <col min="16" max="16" width="11.140625" bestFit="1" customWidth="1"/>
  </cols>
  <sheetData>
    <row r="1" spans="1:16" x14ac:dyDescent="0.25">
      <c r="A1" t="s">
        <v>0</v>
      </c>
      <c r="B1" t="s">
        <v>1</v>
      </c>
      <c r="C1" t="s">
        <v>2</v>
      </c>
      <c r="D1" t="s">
        <v>3</v>
      </c>
      <c r="E1" t="s">
        <v>4</v>
      </c>
      <c r="F1" t="s">
        <v>5</v>
      </c>
      <c r="G1" t="s">
        <v>6</v>
      </c>
      <c r="H1" t="s">
        <v>7</v>
      </c>
      <c r="I1" t="s">
        <v>8</v>
      </c>
      <c r="J1" t="s">
        <v>9</v>
      </c>
      <c r="K1" t="s">
        <v>525</v>
      </c>
      <c r="L1" t="s">
        <v>10</v>
      </c>
      <c r="M1" t="s">
        <v>11</v>
      </c>
      <c r="N1" t="s">
        <v>12</v>
      </c>
      <c r="O1" t="s">
        <v>13</v>
      </c>
      <c r="P1" t="s">
        <v>14</v>
      </c>
    </row>
    <row r="2" spans="1:16" hidden="1" x14ac:dyDescent="0.25">
      <c r="A2" s="1">
        <v>45861.583333333336</v>
      </c>
      <c r="B2" s="2" t="s">
        <v>15</v>
      </c>
      <c r="C2" s="2" t="s">
        <v>16</v>
      </c>
      <c r="D2" s="2" t="s">
        <v>17</v>
      </c>
      <c r="E2" s="2" t="s">
        <v>18</v>
      </c>
      <c r="F2" s="2" t="s">
        <v>19</v>
      </c>
      <c r="G2" s="2" t="s">
        <v>20</v>
      </c>
      <c r="H2" s="2" t="s">
        <v>21</v>
      </c>
      <c r="I2" s="2" t="s">
        <v>22</v>
      </c>
      <c r="J2" s="2" t="s">
        <v>23</v>
      </c>
      <c r="K2" s="2" t="str">
        <f>_xlfn.XLOOKUP(Data_Tracking___Test_file__1[[#This Row],[City]],'List of Regions'!$A$1:$A$107,'List of Regions'!$B$1:$B$107)</f>
        <v>Kingston</v>
      </c>
      <c r="L2" s="2" t="s">
        <v>24</v>
      </c>
      <c r="M2" s="2" t="s">
        <v>25</v>
      </c>
      <c r="N2">
        <v>26704</v>
      </c>
      <c r="O2" s="1">
        <v>45841</v>
      </c>
      <c r="P2">
        <v>453</v>
      </c>
    </row>
    <row r="3" spans="1:16" hidden="1" x14ac:dyDescent="0.25">
      <c r="A3" s="1">
        <v>45861.583333333336</v>
      </c>
      <c r="B3" s="2" t="s">
        <v>15</v>
      </c>
      <c r="C3" s="2" t="s">
        <v>16</v>
      </c>
      <c r="D3" s="2" t="s">
        <v>17</v>
      </c>
      <c r="E3" s="2" t="s">
        <v>18</v>
      </c>
      <c r="F3" s="2" t="s">
        <v>26</v>
      </c>
      <c r="G3" s="2" t="s">
        <v>27</v>
      </c>
      <c r="H3" s="2" t="s">
        <v>28</v>
      </c>
      <c r="I3" s="2" t="s">
        <v>29</v>
      </c>
      <c r="J3" s="2" t="s">
        <v>30</v>
      </c>
      <c r="K3" s="2" t="str">
        <f>_xlfn.XLOOKUP(Data_Tracking___Test_file__1[[#This Row],[City]],'List of Regions'!$A$1:$A$107,'List of Regions'!$B$1:$B$107)</f>
        <v>Kingston</v>
      </c>
      <c r="L3" s="2" t="s">
        <v>31</v>
      </c>
      <c r="M3" s="2" t="s">
        <v>25</v>
      </c>
      <c r="N3">
        <v>26801</v>
      </c>
      <c r="O3" s="1">
        <v>45854</v>
      </c>
      <c r="P3">
        <v>299</v>
      </c>
    </row>
    <row r="4" spans="1:16" hidden="1" x14ac:dyDescent="0.25">
      <c r="A4" s="1">
        <v>45861.5</v>
      </c>
      <c r="B4" s="2" t="s">
        <v>15</v>
      </c>
      <c r="C4" s="2" t="s">
        <v>16</v>
      </c>
      <c r="D4" s="2" t="s">
        <v>17</v>
      </c>
      <c r="E4" s="2" t="s">
        <v>18</v>
      </c>
      <c r="F4" s="2" t="s">
        <v>19</v>
      </c>
      <c r="G4" s="2" t="s">
        <v>20</v>
      </c>
      <c r="H4" s="2" t="s">
        <v>32</v>
      </c>
      <c r="I4" s="2" t="s">
        <v>33</v>
      </c>
      <c r="J4" s="2" t="s">
        <v>23</v>
      </c>
      <c r="K4" s="2" t="str">
        <f>_xlfn.XLOOKUP(Data_Tracking___Test_file__1[[#This Row],[City]],'List of Regions'!$A$1:$A$107,'List of Regions'!$B$1:$B$107)</f>
        <v>Kingston</v>
      </c>
      <c r="L4" s="2" t="s">
        <v>34</v>
      </c>
      <c r="M4" s="2" t="s">
        <v>25</v>
      </c>
      <c r="N4">
        <v>26701</v>
      </c>
      <c r="O4" s="1">
        <v>45841</v>
      </c>
      <c r="P4">
        <v>438</v>
      </c>
    </row>
    <row r="5" spans="1:16" hidden="1" x14ac:dyDescent="0.25">
      <c r="A5" s="1">
        <v>45861.416666666664</v>
      </c>
      <c r="B5" s="2" t="s">
        <v>15</v>
      </c>
      <c r="C5" s="2" t="s">
        <v>16</v>
      </c>
      <c r="D5" s="2" t="s">
        <v>17</v>
      </c>
      <c r="E5" s="2" t="s">
        <v>18</v>
      </c>
      <c r="F5" s="2" t="s">
        <v>35</v>
      </c>
      <c r="G5" s="2" t="s">
        <v>20</v>
      </c>
      <c r="H5" s="2" t="s">
        <v>36</v>
      </c>
      <c r="I5" s="2" t="s">
        <v>37</v>
      </c>
      <c r="J5" s="2" t="s">
        <v>23</v>
      </c>
      <c r="K5" s="2" t="str">
        <f>_xlfn.XLOOKUP(Data_Tracking___Test_file__1[[#This Row],[City]],'List of Regions'!$A$1:$A$107,'List of Regions'!$B$1:$B$107)</f>
        <v>Kingston</v>
      </c>
      <c r="L5" s="2" t="s">
        <v>38</v>
      </c>
      <c r="M5" s="2" t="s">
        <v>25</v>
      </c>
      <c r="N5">
        <v>26655</v>
      </c>
      <c r="O5" s="1">
        <v>45833</v>
      </c>
      <c r="P5">
        <v>374</v>
      </c>
    </row>
    <row r="6" spans="1:16" x14ac:dyDescent="0.25">
      <c r="A6" s="1">
        <v>45861.395833333336</v>
      </c>
      <c r="B6" s="2" t="s">
        <v>15</v>
      </c>
      <c r="C6" s="2" t="s">
        <v>16</v>
      </c>
      <c r="D6" s="2" t="s">
        <v>39</v>
      </c>
      <c r="E6" s="2" t="s">
        <v>18</v>
      </c>
      <c r="F6" s="2" t="s">
        <v>40</v>
      </c>
      <c r="G6" s="2" t="s">
        <v>27</v>
      </c>
      <c r="H6" s="2" t="s">
        <v>41</v>
      </c>
      <c r="I6" s="2" t="s">
        <v>42</v>
      </c>
      <c r="J6" s="2" t="s">
        <v>43</v>
      </c>
      <c r="K6" s="2" t="str">
        <f>_xlfn.XLOOKUP(Data_Tracking___Test_file__1[[#This Row],[City]],'List of Regions'!$A$1:$A$107,'List of Regions'!$B$1:$B$107)</f>
        <v>Kingston</v>
      </c>
      <c r="L6" s="2" t="s">
        <v>44</v>
      </c>
      <c r="M6" s="2" t="s">
        <v>25</v>
      </c>
      <c r="N6">
        <v>26802</v>
      </c>
      <c r="O6" s="1">
        <v>45854</v>
      </c>
      <c r="P6">
        <v>328</v>
      </c>
    </row>
    <row r="7" spans="1:16" hidden="1" x14ac:dyDescent="0.25">
      <c r="A7" s="1">
        <v>45861.354166666664</v>
      </c>
      <c r="B7" s="2" t="s">
        <v>15</v>
      </c>
      <c r="C7" s="2" t="s">
        <v>16</v>
      </c>
      <c r="D7" s="2" t="s">
        <v>17</v>
      </c>
      <c r="E7" s="2" t="s">
        <v>18</v>
      </c>
      <c r="F7" s="2" t="s">
        <v>45</v>
      </c>
      <c r="G7" s="2" t="s">
        <v>20</v>
      </c>
      <c r="H7" s="2" t="s">
        <v>46</v>
      </c>
      <c r="I7" s="2" t="s">
        <v>47</v>
      </c>
      <c r="J7" s="2" t="s">
        <v>23</v>
      </c>
      <c r="K7" s="2" t="str">
        <f>_xlfn.XLOOKUP(Data_Tracking___Test_file__1[[#This Row],[City]],'List of Regions'!$A$1:$A$107,'List of Regions'!$B$1:$B$107)</f>
        <v>Kingston</v>
      </c>
      <c r="L7" s="2" t="s">
        <v>48</v>
      </c>
      <c r="M7" s="2" t="s">
        <v>25</v>
      </c>
      <c r="N7">
        <v>26728</v>
      </c>
      <c r="O7" s="1">
        <v>45843</v>
      </c>
      <c r="P7">
        <v>404</v>
      </c>
    </row>
    <row r="8" spans="1:16" x14ac:dyDescent="0.25">
      <c r="A8" s="1">
        <v>45861.333333333336</v>
      </c>
      <c r="B8" s="2" t="s">
        <v>15</v>
      </c>
      <c r="C8" s="2" t="s">
        <v>16</v>
      </c>
      <c r="D8" s="2" t="s">
        <v>49</v>
      </c>
      <c r="E8" s="2" t="s">
        <v>18</v>
      </c>
      <c r="F8" s="2" t="s">
        <v>19</v>
      </c>
      <c r="G8" s="2" t="s">
        <v>27</v>
      </c>
      <c r="H8" s="2" t="s">
        <v>50</v>
      </c>
      <c r="I8" s="2" t="s">
        <v>51</v>
      </c>
      <c r="J8" s="2" t="s">
        <v>52</v>
      </c>
      <c r="K8" s="2" t="str">
        <f>_xlfn.XLOOKUP(Data_Tracking___Test_file__1[[#This Row],[City]],'List of Regions'!$A$1:$A$107,'List of Regions'!$B$1:$B$107)</f>
        <v>Kingston</v>
      </c>
      <c r="L8" s="2" t="s">
        <v>53</v>
      </c>
      <c r="M8" s="2" t="s">
        <v>25</v>
      </c>
      <c r="N8">
        <v>26836</v>
      </c>
      <c r="O8" s="1">
        <v>45859</v>
      </c>
      <c r="P8">
        <v>449</v>
      </c>
    </row>
    <row r="9" spans="1:16" hidden="1" x14ac:dyDescent="0.25">
      <c r="A9" s="1">
        <v>45861.333333333336</v>
      </c>
      <c r="B9" s="2" t="s">
        <v>15</v>
      </c>
      <c r="C9" s="2" t="s">
        <v>16</v>
      </c>
      <c r="D9" s="2" t="s">
        <v>54</v>
      </c>
      <c r="E9" s="2" t="s">
        <v>18</v>
      </c>
      <c r="F9" s="2" t="s">
        <v>45</v>
      </c>
      <c r="G9" s="2" t="s">
        <v>20</v>
      </c>
      <c r="H9" s="2" t="s">
        <v>55</v>
      </c>
      <c r="I9" s="2" t="s">
        <v>56</v>
      </c>
      <c r="J9" s="2" t="s">
        <v>23</v>
      </c>
      <c r="K9" s="2" t="str">
        <f>_xlfn.XLOOKUP(Data_Tracking___Test_file__1[[#This Row],[City]],'List of Regions'!$A$1:$A$107,'List of Regions'!$B$1:$B$107)</f>
        <v>Kingston</v>
      </c>
      <c r="L9" s="2" t="s">
        <v>57</v>
      </c>
      <c r="M9" s="2" t="s">
        <v>25</v>
      </c>
      <c r="N9">
        <v>26695</v>
      </c>
      <c r="O9" s="1">
        <v>45840</v>
      </c>
      <c r="P9">
        <v>642</v>
      </c>
    </row>
    <row r="10" spans="1:16" hidden="1" x14ac:dyDescent="0.25">
      <c r="A10" s="1">
        <v>45860.625</v>
      </c>
      <c r="B10" s="2" t="s">
        <v>15</v>
      </c>
      <c r="C10" s="2" t="s">
        <v>58</v>
      </c>
      <c r="D10" s="2" t="s">
        <v>39</v>
      </c>
      <c r="E10" s="2" t="s">
        <v>18</v>
      </c>
      <c r="F10" s="2" t="s">
        <v>59</v>
      </c>
      <c r="G10" s="2" t="s">
        <v>20</v>
      </c>
      <c r="H10" s="2" t="s">
        <v>60</v>
      </c>
      <c r="I10" s="2" t="s">
        <v>61</v>
      </c>
      <c r="J10" s="2" t="s">
        <v>23</v>
      </c>
      <c r="K10" s="2" t="str">
        <f>_xlfn.XLOOKUP(Data_Tracking___Test_file__1[[#This Row],[City]],'List of Regions'!$A$1:$A$107,'List of Regions'!$B$1:$B$107)</f>
        <v>Kingston</v>
      </c>
      <c r="L10" s="2" t="s">
        <v>62</v>
      </c>
      <c r="M10" s="2" t="s">
        <v>25</v>
      </c>
      <c r="N10">
        <v>26838</v>
      </c>
      <c r="O10" s="1">
        <v>45859</v>
      </c>
      <c r="P10">
        <v>199</v>
      </c>
    </row>
    <row r="11" spans="1:16" x14ac:dyDescent="0.25">
      <c r="A11" s="1">
        <v>45860.5625</v>
      </c>
      <c r="B11" s="2" t="s">
        <v>15</v>
      </c>
      <c r="C11" s="2" t="s">
        <v>58</v>
      </c>
      <c r="D11" s="2" t="s">
        <v>17</v>
      </c>
      <c r="E11" s="2" t="s">
        <v>18</v>
      </c>
      <c r="F11" s="2" t="s">
        <v>19</v>
      </c>
      <c r="G11" s="2" t="s">
        <v>63</v>
      </c>
      <c r="H11" s="2" t="s">
        <v>64</v>
      </c>
      <c r="I11" s="2" t="s">
        <v>65</v>
      </c>
      <c r="J11" s="2" t="s">
        <v>66</v>
      </c>
      <c r="K11" s="2" t="str">
        <f>_xlfn.XLOOKUP(Data_Tracking___Test_file__1[[#This Row],[City]],'List of Regions'!$A$1:$A$107,'List of Regions'!$B$1:$B$107)</f>
        <v>Kingston</v>
      </c>
      <c r="L11" s="2" t="s">
        <v>67</v>
      </c>
      <c r="M11" s="2" t="s">
        <v>25</v>
      </c>
      <c r="N11">
        <v>26707</v>
      </c>
      <c r="O11" s="1">
        <v>45841</v>
      </c>
      <c r="P11">
        <v>453</v>
      </c>
    </row>
    <row r="12" spans="1:16" hidden="1" x14ac:dyDescent="0.25">
      <c r="A12" s="1">
        <v>45860.5</v>
      </c>
      <c r="B12" s="2" t="s">
        <v>15</v>
      </c>
      <c r="C12" s="2" t="s">
        <v>58</v>
      </c>
      <c r="D12" s="2" t="s">
        <v>17</v>
      </c>
      <c r="E12" s="2" t="s">
        <v>18</v>
      </c>
      <c r="F12" s="2" t="s">
        <v>35</v>
      </c>
      <c r="G12" s="2" t="s">
        <v>63</v>
      </c>
      <c r="H12" s="2" t="s">
        <v>68</v>
      </c>
      <c r="I12" s="2" t="s">
        <v>69</v>
      </c>
      <c r="J12" s="2" t="s">
        <v>70</v>
      </c>
      <c r="K12" s="2" t="str">
        <f>_xlfn.XLOOKUP(Data_Tracking___Test_file__1[[#This Row],[City]],'List of Regions'!$A$1:$A$107,'List of Regions'!$B$1:$B$107)</f>
        <v>Kingston</v>
      </c>
      <c r="L12" s="2" t="s">
        <v>71</v>
      </c>
      <c r="M12" s="2" t="s">
        <v>25</v>
      </c>
      <c r="N12">
        <v>26569</v>
      </c>
      <c r="O12" s="1">
        <v>45824</v>
      </c>
      <c r="P12">
        <v>299</v>
      </c>
    </row>
    <row r="13" spans="1:16" hidden="1" x14ac:dyDescent="0.25">
      <c r="A13" s="1">
        <v>45860.5</v>
      </c>
      <c r="B13" s="2" t="s">
        <v>15</v>
      </c>
      <c r="C13" s="2" t="s">
        <v>58</v>
      </c>
      <c r="D13" s="2" t="s">
        <v>72</v>
      </c>
      <c r="E13" s="2" t="s">
        <v>18</v>
      </c>
      <c r="F13" s="2" t="s">
        <v>19</v>
      </c>
      <c r="G13" s="2" t="s">
        <v>73</v>
      </c>
      <c r="H13" s="2" t="s">
        <v>74</v>
      </c>
      <c r="I13" s="2" t="s">
        <v>75</v>
      </c>
      <c r="J13" s="2" t="s">
        <v>76</v>
      </c>
      <c r="K13" s="2" t="str">
        <f>_xlfn.XLOOKUP(Data_Tracking___Test_file__1[[#This Row],[City]],'List of Regions'!$A$1:$A$107,'List of Regions'!$B$1:$B$107)</f>
        <v>Ottawa</v>
      </c>
      <c r="L13" s="2" t="s">
        <v>77</v>
      </c>
      <c r="M13" s="2" t="s">
        <v>25</v>
      </c>
      <c r="N13">
        <v>26735</v>
      </c>
      <c r="O13" s="1">
        <v>45845</v>
      </c>
      <c r="P13">
        <v>533</v>
      </c>
    </row>
    <row r="14" spans="1:16" hidden="1" x14ac:dyDescent="0.25">
      <c r="A14" s="1">
        <v>45860.416666666664</v>
      </c>
      <c r="B14" s="2" t="s">
        <v>15</v>
      </c>
      <c r="C14" s="2" t="s">
        <v>58</v>
      </c>
      <c r="D14" s="2" t="s">
        <v>72</v>
      </c>
      <c r="E14" s="2" t="s">
        <v>18</v>
      </c>
      <c r="F14" s="2" t="s">
        <v>19</v>
      </c>
      <c r="G14" s="2" t="s">
        <v>73</v>
      </c>
      <c r="H14" s="2" t="s">
        <v>78</v>
      </c>
      <c r="I14" s="2" t="s">
        <v>79</v>
      </c>
      <c r="J14" s="2" t="s">
        <v>76</v>
      </c>
      <c r="K14" s="2" t="str">
        <f>_xlfn.XLOOKUP(Data_Tracking___Test_file__1[[#This Row],[City]],'List of Regions'!$A$1:$A$107,'List of Regions'!$B$1:$B$107)</f>
        <v>Ottawa</v>
      </c>
      <c r="L14" s="2" t="s">
        <v>80</v>
      </c>
      <c r="M14" s="2" t="s">
        <v>25</v>
      </c>
      <c r="N14">
        <v>26654</v>
      </c>
      <c r="O14" s="1">
        <v>45833</v>
      </c>
      <c r="P14">
        <v>453</v>
      </c>
    </row>
    <row r="15" spans="1:16" hidden="1" x14ac:dyDescent="0.25">
      <c r="A15" s="1">
        <v>45860.395833333336</v>
      </c>
      <c r="B15" s="2" t="s">
        <v>15</v>
      </c>
      <c r="C15" s="2" t="s">
        <v>58</v>
      </c>
      <c r="D15" s="2" t="s">
        <v>17</v>
      </c>
      <c r="E15" s="2" t="s">
        <v>18</v>
      </c>
      <c r="F15" s="2" t="s">
        <v>40</v>
      </c>
      <c r="G15" s="2" t="s">
        <v>63</v>
      </c>
      <c r="H15" s="2" t="s">
        <v>81</v>
      </c>
      <c r="I15" s="2" t="s">
        <v>82</v>
      </c>
      <c r="J15" s="2" t="s">
        <v>83</v>
      </c>
      <c r="K15" s="2" t="str">
        <f>_xlfn.XLOOKUP(Data_Tracking___Test_file__1[[#This Row],[City]],'List of Regions'!$A$1:$A$107,'List of Regions'!$B$1:$B$107)</f>
        <v>Kingston</v>
      </c>
      <c r="L15" s="2" t="s">
        <v>84</v>
      </c>
      <c r="M15" s="2" t="s">
        <v>25</v>
      </c>
      <c r="N15">
        <v>26644</v>
      </c>
      <c r="O15" s="1">
        <v>45833</v>
      </c>
      <c r="P15">
        <v>584</v>
      </c>
    </row>
    <row r="16" spans="1:16" hidden="1" x14ac:dyDescent="0.25">
      <c r="A16" s="1">
        <v>45860.333333333336</v>
      </c>
      <c r="B16" s="2" t="s">
        <v>15</v>
      </c>
      <c r="C16" s="2" t="s">
        <v>58</v>
      </c>
      <c r="D16" s="2" t="s">
        <v>72</v>
      </c>
      <c r="E16" s="2" t="s">
        <v>18</v>
      </c>
      <c r="F16" s="2" t="s">
        <v>35</v>
      </c>
      <c r="G16" s="2" t="s">
        <v>73</v>
      </c>
      <c r="H16" s="2" t="s">
        <v>85</v>
      </c>
      <c r="I16" s="2" t="s">
        <v>86</v>
      </c>
      <c r="J16" s="2" t="s">
        <v>76</v>
      </c>
      <c r="K16" s="2" t="str">
        <f>_xlfn.XLOOKUP(Data_Tracking___Test_file__1[[#This Row],[City]],'List of Regions'!$A$1:$A$107,'List of Regions'!$B$1:$B$107)</f>
        <v>Ottawa</v>
      </c>
      <c r="L16" s="2" t="s">
        <v>87</v>
      </c>
      <c r="M16" s="2" t="s">
        <v>25</v>
      </c>
      <c r="N16">
        <v>26647</v>
      </c>
      <c r="O16" s="1">
        <v>45833</v>
      </c>
      <c r="P16">
        <v>378</v>
      </c>
    </row>
    <row r="17" spans="1:16" x14ac:dyDescent="0.25">
      <c r="A17" s="1">
        <v>45860.333333333336</v>
      </c>
      <c r="B17" s="2" t="s">
        <v>15</v>
      </c>
      <c r="C17" s="2" t="s">
        <v>58</v>
      </c>
      <c r="D17" s="2" t="s">
        <v>17</v>
      </c>
      <c r="E17" s="2" t="s">
        <v>18</v>
      </c>
      <c r="F17" s="2" t="s">
        <v>40</v>
      </c>
      <c r="G17" s="2" t="s">
        <v>63</v>
      </c>
      <c r="H17" s="2" t="s">
        <v>88</v>
      </c>
      <c r="I17" s="2" t="s">
        <v>89</v>
      </c>
      <c r="J17" s="2" t="s">
        <v>90</v>
      </c>
      <c r="K17" s="2" t="str">
        <f>_xlfn.XLOOKUP(Data_Tracking___Test_file__1[[#This Row],[City]],'List of Regions'!$A$1:$A$107,'List of Regions'!$B$1:$B$107)</f>
        <v>Kingston</v>
      </c>
      <c r="L17" s="2" t="s">
        <v>91</v>
      </c>
      <c r="M17" s="2" t="s">
        <v>25</v>
      </c>
      <c r="N17">
        <v>26719</v>
      </c>
      <c r="O17" s="1">
        <v>45842</v>
      </c>
      <c r="P17">
        <v>464</v>
      </c>
    </row>
    <row r="18" spans="1:16" x14ac:dyDescent="0.25">
      <c r="A18" s="1">
        <v>45859.583333333336</v>
      </c>
      <c r="B18" s="2" t="s">
        <v>15</v>
      </c>
      <c r="C18" s="2" t="s">
        <v>92</v>
      </c>
      <c r="D18" s="2" t="s">
        <v>17</v>
      </c>
      <c r="E18" s="2" t="s">
        <v>18</v>
      </c>
      <c r="F18" s="2" t="s">
        <v>19</v>
      </c>
      <c r="G18" s="2" t="s">
        <v>63</v>
      </c>
      <c r="H18" s="2" t="s">
        <v>93</v>
      </c>
      <c r="I18" s="2" t="s">
        <v>94</v>
      </c>
      <c r="J18" s="2" t="s">
        <v>95</v>
      </c>
      <c r="K18" s="2" t="str">
        <f>_xlfn.XLOOKUP(Data_Tracking___Test_file__1[[#This Row],[City]],'List of Regions'!$A$1:$A$107,'List of Regions'!$B$1:$B$107)</f>
        <v>Kingston</v>
      </c>
      <c r="L18" s="2" t="s">
        <v>96</v>
      </c>
      <c r="M18" s="2" t="s">
        <v>25</v>
      </c>
      <c r="N18">
        <v>26652</v>
      </c>
      <c r="O18" s="1">
        <v>45833</v>
      </c>
      <c r="P18">
        <v>807</v>
      </c>
    </row>
    <row r="19" spans="1:16" hidden="1" x14ac:dyDescent="0.25">
      <c r="A19" s="1">
        <v>45859.583333333336</v>
      </c>
      <c r="B19" s="2" t="s">
        <v>15</v>
      </c>
      <c r="C19" s="2" t="s">
        <v>92</v>
      </c>
      <c r="D19" s="2" t="s">
        <v>72</v>
      </c>
      <c r="E19" s="2" t="s">
        <v>18</v>
      </c>
      <c r="F19" s="2" t="s">
        <v>19</v>
      </c>
      <c r="G19" s="2" t="s">
        <v>73</v>
      </c>
      <c r="H19" s="2" t="s">
        <v>97</v>
      </c>
      <c r="I19" s="2" t="s">
        <v>98</v>
      </c>
      <c r="J19" s="2" t="s">
        <v>76</v>
      </c>
      <c r="K19" s="2" t="str">
        <f>_xlfn.XLOOKUP(Data_Tracking___Test_file__1[[#This Row],[City]],'List of Regions'!$A$1:$A$107,'List of Regions'!$B$1:$B$107)</f>
        <v>Ottawa</v>
      </c>
      <c r="L19" s="2" t="s">
        <v>99</v>
      </c>
      <c r="M19" s="2" t="s">
        <v>25</v>
      </c>
      <c r="N19">
        <v>26685</v>
      </c>
      <c r="O19" s="1">
        <v>45838</v>
      </c>
      <c r="P19">
        <v>653</v>
      </c>
    </row>
    <row r="20" spans="1:16" hidden="1" x14ac:dyDescent="0.25">
      <c r="A20" s="1">
        <v>45859.520833333336</v>
      </c>
      <c r="B20" s="2" t="s">
        <v>15</v>
      </c>
      <c r="C20" s="2" t="s">
        <v>92</v>
      </c>
      <c r="D20" s="2" t="s">
        <v>100</v>
      </c>
      <c r="E20" s="2" t="s">
        <v>18</v>
      </c>
      <c r="F20" s="2" t="s">
        <v>19</v>
      </c>
      <c r="G20" s="2" t="s">
        <v>73</v>
      </c>
      <c r="H20" s="2" t="s">
        <v>101</v>
      </c>
      <c r="I20" s="2" t="s">
        <v>102</v>
      </c>
      <c r="J20" s="2" t="s">
        <v>76</v>
      </c>
      <c r="K20" s="2" t="str">
        <f>_xlfn.XLOOKUP(Data_Tracking___Test_file__1[[#This Row],[City]],'List of Regions'!$A$1:$A$107,'List of Regions'!$B$1:$B$107)</f>
        <v>Ottawa</v>
      </c>
      <c r="L20" s="2" t="s">
        <v>103</v>
      </c>
      <c r="M20" s="2" t="s">
        <v>25</v>
      </c>
      <c r="N20">
        <v>26554</v>
      </c>
      <c r="O20" s="1">
        <v>45820</v>
      </c>
      <c r="P20">
        <v>449</v>
      </c>
    </row>
    <row r="21" spans="1:16" hidden="1" x14ac:dyDescent="0.25">
      <c r="A21" s="1">
        <v>45859.5</v>
      </c>
      <c r="B21" s="2" t="s">
        <v>15</v>
      </c>
      <c r="C21" s="2" t="s">
        <v>92</v>
      </c>
      <c r="D21" s="2" t="s">
        <v>39</v>
      </c>
      <c r="E21" s="2" t="s">
        <v>18</v>
      </c>
      <c r="F21" s="2" t="s">
        <v>19</v>
      </c>
      <c r="G21" s="2" t="s">
        <v>73</v>
      </c>
      <c r="H21" s="2" t="s">
        <v>104</v>
      </c>
      <c r="I21" s="2" t="s">
        <v>105</v>
      </c>
      <c r="J21" s="2" t="s">
        <v>76</v>
      </c>
      <c r="K21" s="2" t="str">
        <f>_xlfn.XLOOKUP(Data_Tracking___Test_file__1[[#This Row],[City]],'List of Regions'!$A$1:$A$107,'List of Regions'!$B$1:$B$107)</f>
        <v>Ottawa</v>
      </c>
      <c r="L21" s="2" t="s">
        <v>106</v>
      </c>
      <c r="M21" s="2" t="s">
        <v>25</v>
      </c>
      <c r="N21">
        <v>26662</v>
      </c>
      <c r="O21" s="1">
        <v>45834</v>
      </c>
      <c r="P21">
        <v>199</v>
      </c>
    </row>
    <row r="22" spans="1:16" hidden="1" x14ac:dyDescent="0.25">
      <c r="A22" s="1">
        <v>45859.416666666664</v>
      </c>
      <c r="B22" s="2" t="s">
        <v>15</v>
      </c>
      <c r="C22" s="2" t="s">
        <v>92</v>
      </c>
      <c r="D22" s="2" t="s">
        <v>72</v>
      </c>
      <c r="E22" s="2" t="s">
        <v>18</v>
      </c>
      <c r="F22" s="2" t="s">
        <v>19</v>
      </c>
      <c r="G22" s="2" t="s">
        <v>73</v>
      </c>
      <c r="H22" s="2" t="s">
        <v>107</v>
      </c>
      <c r="I22" s="2" t="s">
        <v>108</v>
      </c>
      <c r="J22" s="2" t="s">
        <v>76</v>
      </c>
      <c r="K22" s="2" t="str">
        <f>_xlfn.XLOOKUP(Data_Tracking___Test_file__1[[#This Row],[City]],'List of Regions'!$A$1:$A$107,'List of Regions'!$B$1:$B$107)</f>
        <v>Ottawa</v>
      </c>
      <c r="L22" s="2" t="s">
        <v>109</v>
      </c>
      <c r="M22" s="2" t="s">
        <v>25</v>
      </c>
      <c r="N22">
        <v>26350</v>
      </c>
      <c r="O22" s="1">
        <v>45799</v>
      </c>
      <c r="P22">
        <v>498</v>
      </c>
    </row>
    <row r="23" spans="1:16" x14ac:dyDescent="0.25">
      <c r="A23" s="1">
        <v>45859.416666666664</v>
      </c>
      <c r="B23" s="2" t="s">
        <v>15</v>
      </c>
      <c r="C23" s="2" t="s">
        <v>92</v>
      </c>
      <c r="D23" s="2" t="s">
        <v>17</v>
      </c>
      <c r="E23" s="2" t="s">
        <v>18</v>
      </c>
      <c r="F23" s="2" t="s">
        <v>40</v>
      </c>
      <c r="G23" s="2" t="s">
        <v>63</v>
      </c>
      <c r="H23" s="2" t="s">
        <v>110</v>
      </c>
      <c r="I23" s="2" t="s">
        <v>111</v>
      </c>
      <c r="J23" s="2" t="s">
        <v>112</v>
      </c>
      <c r="K23" s="2" t="str">
        <f>_xlfn.XLOOKUP(Data_Tracking___Test_file__1[[#This Row],[City]],'List of Regions'!$A$1:$A$107,'List of Regions'!$B$1:$B$107)</f>
        <v>Kingston</v>
      </c>
      <c r="L23" s="2" t="s">
        <v>113</v>
      </c>
      <c r="M23" s="2" t="s">
        <v>25</v>
      </c>
      <c r="N23">
        <v>26677</v>
      </c>
      <c r="O23" s="1">
        <v>45837</v>
      </c>
      <c r="P23">
        <v>449</v>
      </c>
    </row>
    <row r="24" spans="1:16" hidden="1" x14ac:dyDescent="0.25">
      <c r="A24" s="1">
        <v>45859.333333333336</v>
      </c>
      <c r="B24" s="2" t="s">
        <v>15</v>
      </c>
      <c r="C24" s="2" t="s">
        <v>92</v>
      </c>
      <c r="D24" s="2" t="s">
        <v>114</v>
      </c>
      <c r="E24" s="2" t="s">
        <v>18</v>
      </c>
      <c r="F24" s="2" t="s">
        <v>26</v>
      </c>
      <c r="G24" s="2" t="s">
        <v>73</v>
      </c>
      <c r="H24" s="2" t="s">
        <v>115</v>
      </c>
      <c r="I24" s="2" t="s">
        <v>116</v>
      </c>
      <c r="J24" s="2" t="s">
        <v>76</v>
      </c>
      <c r="K24" s="2" t="str">
        <f>_xlfn.XLOOKUP(Data_Tracking___Test_file__1[[#This Row],[City]],'List of Regions'!$A$1:$A$107,'List of Regions'!$B$1:$B$107)</f>
        <v>Ottawa</v>
      </c>
      <c r="L24" s="2" t="s">
        <v>117</v>
      </c>
      <c r="M24" s="2" t="s">
        <v>25</v>
      </c>
      <c r="N24">
        <v>26656</v>
      </c>
      <c r="O24" s="1">
        <v>45833</v>
      </c>
      <c r="P24">
        <v>658</v>
      </c>
    </row>
    <row r="25" spans="1:16" x14ac:dyDescent="0.25">
      <c r="A25" s="1">
        <v>45859.333333333336</v>
      </c>
      <c r="B25" s="2" t="s">
        <v>15</v>
      </c>
      <c r="C25" s="2" t="s">
        <v>92</v>
      </c>
      <c r="D25" s="2" t="s">
        <v>17</v>
      </c>
      <c r="E25" s="2" t="s">
        <v>18</v>
      </c>
      <c r="F25" s="2" t="s">
        <v>118</v>
      </c>
      <c r="G25" s="2" t="s">
        <v>63</v>
      </c>
      <c r="H25" s="2" t="s">
        <v>119</v>
      </c>
      <c r="I25" s="2" t="s">
        <v>120</v>
      </c>
      <c r="J25" s="2" t="s">
        <v>121</v>
      </c>
      <c r="K25" s="2" t="str">
        <f>_xlfn.XLOOKUP(Data_Tracking___Test_file__1[[#This Row],[City]],'List of Regions'!$A$1:$A$107,'List of Regions'!$B$1:$B$107)</f>
        <v>Kingston</v>
      </c>
      <c r="L25" s="2" t="s">
        <v>122</v>
      </c>
      <c r="M25" s="2" t="s">
        <v>25</v>
      </c>
      <c r="N25">
        <v>26616</v>
      </c>
      <c r="O25" s="1">
        <v>45831</v>
      </c>
      <c r="P25">
        <v>434</v>
      </c>
    </row>
    <row r="26" spans="1:16" hidden="1" x14ac:dyDescent="0.25">
      <c r="A26" s="1">
        <v>45859.333333333336</v>
      </c>
      <c r="B26" s="2" t="s">
        <v>15</v>
      </c>
      <c r="C26" s="2" t="s">
        <v>92</v>
      </c>
      <c r="D26" s="2" t="s">
        <v>123</v>
      </c>
      <c r="E26" s="2" t="s">
        <v>18</v>
      </c>
      <c r="F26" s="2" t="s">
        <v>118</v>
      </c>
      <c r="G26" s="2" t="s">
        <v>124</v>
      </c>
      <c r="H26" s="2" t="s">
        <v>125</v>
      </c>
      <c r="I26" s="2" t="s">
        <v>126</v>
      </c>
      <c r="J26" s="2" t="s">
        <v>76</v>
      </c>
      <c r="K26" s="2" t="str">
        <f>_xlfn.XLOOKUP(Data_Tracking___Test_file__1[[#This Row],[City]],'List of Regions'!$A$1:$A$107,'List of Regions'!$B$1:$B$107)</f>
        <v>Ottawa</v>
      </c>
      <c r="L26" s="2" t="s">
        <v>127</v>
      </c>
      <c r="M26" s="2" t="s">
        <v>25</v>
      </c>
      <c r="N26">
        <v>26826</v>
      </c>
      <c r="O26" s="1">
        <v>45856</v>
      </c>
      <c r="P26">
        <v>12000</v>
      </c>
    </row>
    <row r="27" spans="1:16" hidden="1" x14ac:dyDescent="0.25">
      <c r="A27" s="1">
        <v>45859.333333333336</v>
      </c>
      <c r="B27" s="2" t="s">
        <v>15</v>
      </c>
      <c r="C27" s="2" t="s">
        <v>92</v>
      </c>
      <c r="D27" s="2" t="s">
        <v>123</v>
      </c>
      <c r="E27" s="2" t="s">
        <v>18</v>
      </c>
      <c r="F27" s="2" t="s">
        <v>118</v>
      </c>
      <c r="G27" s="2" t="s">
        <v>20</v>
      </c>
      <c r="H27" s="2" t="s">
        <v>128</v>
      </c>
      <c r="I27" s="2" t="s">
        <v>129</v>
      </c>
      <c r="J27" s="2" t="s">
        <v>76</v>
      </c>
      <c r="K27" s="2" t="str">
        <f>_xlfn.XLOOKUP(Data_Tracking___Test_file__1[[#This Row],[City]],'List of Regions'!$A$1:$A$107,'List of Regions'!$B$1:$B$107)</f>
        <v>Ottawa</v>
      </c>
      <c r="L27" s="2" t="s">
        <v>130</v>
      </c>
      <c r="M27" s="2" t="s">
        <v>25</v>
      </c>
      <c r="N27">
        <v>25865</v>
      </c>
      <c r="O27" s="1">
        <v>45739</v>
      </c>
      <c r="P27">
        <v>2500</v>
      </c>
    </row>
    <row r="28" spans="1:16" hidden="1" x14ac:dyDescent="0.25">
      <c r="A28" s="1">
        <v>45857.333333333336</v>
      </c>
      <c r="B28" s="2" t="s">
        <v>15</v>
      </c>
      <c r="C28" s="2" t="s">
        <v>131</v>
      </c>
      <c r="D28" s="2" t="s">
        <v>123</v>
      </c>
      <c r="E28" s="2" t="s">
        <v>18</v>
      </c>
      <c r="F28" s="2" t="s">
        <v>118</v>
      </c>
      <c r="G28" s="2" t="s">
        <v>132</v>
      </c>
      <c r="H28" s="2" t="s">
        <v>133</v>
      </c>
      <c r="I28" s="2" t="s">
        <v>134</v>
      </c>
      <c r="J28" s="2" t="s">
        <v>76</v>
      </c>
      <c r="K28" s="2" t="str">
        <f>_xlfn.XLOOKUP(Data_Tracking___Test_file__1[[#This Row],[City]],'List of Regions'!$A$1:$A$107,'List of Regions'!$B$1:$B$107)</f>
        <v>Ottawa</v>
      </c>
      <c r="L28" s="2" t="s">
        <v>135</v>
      </c>
      <c r="M28" s="2" t="s">
        <v>25</v>
      </c>
      <c r="N28">
        <v>26826</v>
      </c>
      <c r="O28" s="1">
        <v>45856</v>
      </c>
      <c r="P28">
        <v>12000</v>
      </c>
    </row>
    <row r="29" spans="1:16" hidden="1" x14ac:dyDescent="0.25">
      <c r="A29" s="1">
        <v>45856.645833333336</v>
      </c>
      <c r="B29" s="2" t="s">
        <v>15</v>
      </c>
      <c r="C29" s="2" t="s">
        <v>136</v>
      </c>
      <c r="D29" s="2" t="s">
        <v>39</v>
      </c>
      <c r="E29" s="2" t="s">
        <v>18</v>
      </c>
      <c r="F29" s="2" t="s">
        <v>59</v>
      </c>
      <c r="G29" s="2" t="s">
        <v>137</v>
      </c>
      <c r="H29" s="2" t="s">
        <v>138</v>
      </c>
      <c r="I29" s="2" t="s">
        <v>139</v>
      </c>
      <c r="J29" s="2" t="s">
        <v>30</v>
      </c>
      <c r="K29" s="2" t="str">
        <f>_xlfn.XLOOKUP(Data_Tracking___Test_file__1[[#This Row],[City]],'List of Regions'!$A$1:$A$107,'List of Regions'!$B$1:$B$107)</f>
        <v>Kingston</v>
      </c>
      <c r="L29" s="2" t="s">
        <v>140</v>
      </c>
      <c r="M29" s="2" t="s">
        <v>25</v>
      </c>
      <c r="N29">
        <v>26820</v>
      </c>
      <c r="O29" s="1">
        <v>45856</v>
      </c>
      <c r="P29">
        <v>199</v>
      </c>
    </row>
    <row r="30" spans="1:16" x14ac:dyDescent="0.25">
      <c r="A30" s="1">
        <v>45856.583333333336</v>
      </c>
      <c r="B30" s="2" t="s">
        <v>15</v>
      </c>
      <c r="C30" s="2" t="s">
        <v>136</v>
      </c>
      <c r="D30" s="2" t="s">
        <v>17</v>
      </c>
      <c r="E30" s="2" t="s">
        <v>18</v>
      </c>
      <c r="F30" s="2" t="s">
        <v>40</v>
      </c>
      <c r="G30" s="2" t="s">
        <v>137</v>
      </c>
      <c r="H30" s="2" t="s">
        <v>141</v>
      </c>
      <c r="I30" s="2" t="s">
        <v>142</v>
      </c>
      <c r="J30" s="2" t="s">
        <v>143</v>
      </c>
      <c r="K30" s="2" t="str">
        <f>_xlfn.XLOOKUP(Data_Tracking___Test_file__1[[#This Row],[City]],'List of Regions'!$A$1:$A$107,'List of Regions'!$B$1:$B$107)</f>
        <v>Kingston</v>
      </c>
      <c r="L30" s="2" t="s">
        <v>144</v>
      </c>
      <c r="M30" s="2" t="s">
        <v>25</v>
      </c>
      <c r="N30">
        <v>26702</v>
      </c>
      <c r="O30" s="1">
        <v>45841</v>
      </c>
      <c r="P30">
        <v>419</v>
      </c>
    </row>
    <row r="31" spans="1:16" hidden="1" x14ac:dyDescent="0.25">
      <c r="A31" s="1">
        <v>45856.5625</v>
      </c>
      <c r="B31" s="2" t="s">
        <v>15</v>
      </c>
      <c r="C31" s="2" t="s">
        <v>136</v>
      </c>
      <c r="D31" s="2" t="s">
        <v>72</v>
      </c>
      <c r="E31" s="2" t="s">
        <v>18</v>
      </c>
      <c r="F31" s="2" t="s">
        <v>19</v>
      </c>
      <c r="G31" s="2" t="s">
        <v>145</v>
      </c>
      <c r="H31" s="2" t="s">
        <v>146</v>
      </c>
      <c r="I31" s="2" t="s">
        <v>147</v>
      </c>
      <c r="J31" s="2" t="s">
        <v>76</v>
      </c>
      <c r="K31" s="2" t="str">
        <f>_xlfn.XLOOKUP(Data_Tracking___Test_file__1[[#This Row],[City]],'List of Regions'!$A$1:$A$107,'List of Regions'!$B$1:$B$107)</f>
        <v>Ottawa</v>
      </c>
      <c r="L31" s="2" t="s">
        <v>148</v>
      </c>
      <c r="M31" s="2" t="s">
        <v>25</v>
      </c>
      <c r="N31">
        <v>26777</v>
      </c>
      <c r="O31" s="1">
        <v>45852</v>
      </c>
      <c r="P31">
        <v>299</v>
      </c>
    </row>
    <row r="32" spans="1:16" hidden="1" x14ac:dyDescent="0.25">
      <c r="A32" s="1">
        <v>45856.5</v>
      </c>
      <c r="B32" s="2" t="s">
        <v>15</v>
      </c>
      <c r="C32" s="2" t="s">
        <v>136</v>
      </c>
      <c r="D32" s="2" t="s">
        <v>72</v>
      </c>
      <c r="E32" s="2" t="s">
        <v>18</v>
      </c>
      <c r="F32" s="2" t="s">
        <v>19</v>
      </c>
      <c r="G32" s="2" t="s">
        <v>145</v>
      </c>
      <c r="H32" s="2" t="s">
        <v>149</v>
      </c>
      <c r="I32" s="2" t="s">
        <v>150</v>
      </c>
      <c r="J32" s="2" t="s">
        <v>76</v>
      </c>
      <c r="K32" s="2" t="str">
        <f>_xlfn.XLOOKUP(Data_Tracking___Test_file__1[[#This Row],[City]],'List of Regions'!$A$1:$A$107,'List of Regions'!$B$1:$B$107)</f>
        <v>Ottawa</v>
      </c>
      <c r="L32" s="2" t="s">
        <v>151</v>
      </c>
      <c r="M32" s="2" t="s">
        <v>25</v>
      </c>
      <c r="N32">
        <v>26665</v>
      </c>
      <c r="O32" s="1">
        <v>45834</v>
      </c>
      <c r="P32">
        <v>573</v>
      </c>
    </row>
    <row r="33" spans="1:16" x14ac:dyDescent="0.25">
      <c r="A33" s="1">
        <v>45856.416666666664</v>
      </c>
      <c r="B33" s="2" t="s">
        <v>15</v>
      </c>
      <c r="C33" s="2" t="s">
        <v>136</v>
      </c>
      <c r="D33" s="2" t="s">
        <v>17</v>
      </c>
      <c r="E33" s="2" t="s">
        <v>18</v>
      </c>
      <c r="F33" s="2" t="s">
        <v>19</v>
      </c>
      <c r="G33" s="2" t="s">
        <v>152</v>
      </c>
      <c r="H33" s="2" t="s">
        <v>153</v>
      </c>
      <c r="I33" s="2" t="s">
        <v>154</v>
      </c>
      <c r="J33" s="2" t="s">
        <v>155</v>
      </c>
      <c r="K33" s="2" t="str">
        <f>_xlfn.XLOOKUP(Data_Tracking___Test_file__1[[#This Row],[City]],'List of Regions'!$A$1:$A$107,'List of Regions'!$B$1:$B$107)</f>
        <v>Kingston</v>
      </c>
      <c r="L33" s="2" t="s">
        <v>156</v>
      </c>
      <c r="M33" s="2" t="s">
        <v>25</v>
      </c>
      <c r="N33">
        <v>26705</v>
      </c>
      <c r="O33" s="1">
        <v>45841</v>
      </c>
      <c r="P33">
        <v>299</v>
      </c>
    </row>
    <row r="34" spans="1:16" hidden="1" x14ac:dyDescent="0.25">
      <c r="A34" s="1">
        <v>45856.416666666664</v>
      </c>
      <c r="B34" s="2" t="s">
        <v>15</v>
      </c>
      <c r="C34" s="2" t="s">
        <v>136</v>
      </c>
      <c r="D34" s="2" t="s">
        <v>72</v>
      </c>
      <c r="E34" s="2" t="s">
        <v>18</v>
      </c>
      <c r="F34" s="2" t="s">
        <v>40</v>
      </c>
      <c r="G34" s="2" t="s">
        <v>145</v>
      </c>
      <c r="H34" s="2" t="s">
        <v>157</v>
      </c>
      <c r="I34" s="2" t="s">
        <v>158</v>
      </c>
      <c r="J34" s="2" t="s">
        <v>76</v>
      </c>
      <c r="K34" s="2" t="str">
        <f>_xlfn.XLOOKUP(Data_Tracking___Test_file__1[[#This Row],[City]],'List of Regions'!$A$1:$A$107,'List of Regions'!$B$1:$B$107)</f>
        <v>Ottawa</v>
      </c>
      <c r="L34" s="2" t="s">
        <v>159</v>
      </c>
      <c r="M34" s="2" t="s">
        <v>25</v>
      </c>
      <c r="N34">
        <v>26659</v>
      </c>
      <c r="O34" s="1">
        <v>45834</v>
      </c>
      <c r="P34">
        <v>479</v>
      </c>
    </row>
    <row r="35" spans="1:16" hidden="1" x14ac:dyDescent="0.25">
      <c r="A35" s="1">
        <v>45856.333333333336</v>
      </c>
      <c r="B35" s="2" t="s">
        <v>15</v>
      </c>
      <c r="C35" s="2" t="s">
        <v>136</v>
      </c>
      <c r="D35" s="2" t="s">
        <v>72</v>
      </c>
      <c r="E35" s="2" t="s">
        <v>18</v>
      </c>
      <c r="F35" s="2" t="s">
        <v>19</v>
      </c>
      <c r="G35" s="2" t="s">
        <v>145</v>
      </c>
      <c r="H35" s="2" t="s">
        <v>160</v>
      </c>
      <c r="I35" s="2" t="s">
        <v>161</v>
      </c>
      <c r="J35" s="2" t="s">
        <v>76</v>
      </c>
      <c r="K35" s="2" t="str">
        <f>_xlfn.XLOOKUP(Data_Tracking___Test_file__1[[#This Row],[City]],'List of Regions'!$A$1:$A$107,'List of Regions'!$B$1:$B$107)</f>
        <v>Ottawa</v>
      </c>
      <c r="L35" s="2" t="s">
        <v>162</v>
      </c>
      <c r="M35" s="2" t="s">
        <v>25</v>
      </c>
      <c r="N35">
        <v>26577</v>
      </c>
      <c r="O35" s="1">
        <v>45825</v>
      </c>
      <c r="P35">
        <v>827</v>
      </c>
    </row>
    <row r="36" spans="1:16" hidden="1" x14ac:dyDescent="0.25">
      <c r="A36" s="1">
        <v>45856.333333333336</v>
      </c>
      <c r="B36" s="2" t="s">
        <v>15</v>
      </c>
      <c r="C36" s="2" t="s">
        <v>136</v>
      </c>
      <c r="D36" s="2" t="s">
        <v>17</v>
      </c>
      <c r="E36" s="2" t="s">
        <v>18</v>
      </c>
      <c r="F36" s="2" t="s">
        <v>26</v>
      </c>
      <c r="G36" s="2" t="s">
        <v>152</v>
      </c>
      <c r="H36" s="2" t="s">
        <v>163</v>
      </c>
      <c r="I36" s="2" t="s">
        <v>164</v>
      </c>
      <c r="J36" s="2" t="s">
        <v>165</v>
      </c>
      <c r="K36" s="2" t="str">
        <f>_xlfn.XLOOKUP(Data_Tracking___Test_file__1[[#This Row],[City]],'List of Regions'!$A$1:$A$107,'List of Regions'!$B$1:$B$107)</f>
        <v>Kingston</v>
      </c>
      <c r="L36" s="2" t="s">
        <v>166</v>
      </c>
      <c r="M36" s="2" t="s">
        <v>25</v>
      </c>
      <c r="N36">
        <v>26636</v>
      </c>
      <c r="O36" s="1">
        <v>45832</v>
      </c>
      <c r="P36">
        <v>464</v>
      </c>
    </row>
    <row r="37" spans="1:16" x14ac:dyDescent="0.25">
      <c r="A37" s="1">
        <v>45856.333333333336</v>
      </c>
      <c r="B37" s="2" t="s">
        <v>15</v>
      </c>
      <c r="C37" s="2" t="s">
        <v>136</v>
      </c>
      <c r="D37" s="2" t="s">
        <v>17</v>
      </c>
      <c r="E37" s="2" t="s">
        <v>18</v>
      </c>
      <c r="F37" s="2" t="s">
        <v>19</v>
      </c>
      <c r="G37" s="2" t="s">
        <v>137</v>
      </c>
      <c r="H37" s="2" t="s">
        <v>167</v>
      </c>
      <c r="I37" s="2" t="s">
        <v>168</v>
      </c>
      <c r="J37" s="2" t="s">
        <v>169</v>
      </c>
      <c r="K37" s="2" t="str">
        <f>_xlfn.XLOOKUP(Data_Tracking___Test_file__1[[#This Row],[City]],'List of Regions'!$A$1:$A$107,'List of Regions'!$B$1:$B$107)</f>
        <v>Kingston</v>
      </c>
      <c r="L37" s="2" t="s">
        <v>170</v>
      </c>
      <c r="M37" s="2" t="s">
        <v>25</v>
      </c>
      <c r="N37">
        <v>26703</v>
      </c>
      <c r="O37" s="1">
        <v>45841</v>
      </c>
      <c r="P37">
        <v>428</v>
      </c>
    </row>
    <row r="38" spans="1:16" hidden="1" x14ac:dyDescent="0.25">
      <c r="A38" s="1">
        <v>45855.604166666664</v>
      </c>
      <c r="B38" s="2" t="s">
        <v>15</v>
      </c>
      <c r="C38" s="2" t="s">
        <v>171</v>
      </c>
      <c r="D38" s="2" t="s">
        <v>17</v>
      </c>
      <c r="E38" s="2" t="s">
        <v>18</v>
      </c>
      <c r="F38" s="2" t="s">
        <v>40</v>
      </c>
      <c r="G38" s="2" t="s">
        <v>137</v>
      </c>
      <c r="H38" s="2" t="s">
        <v>172</v>
      </c>
      <c r="I38" s="2" t="s">
        <v>173</v>
      </c>
      <c r="J38" s="2" t="s">
        <v>30</v>
      </c>
      <c r="K38" s="2" t="str">
        <f>_xlfn.XLOOKUP(Data_Tracking___Test_file__1[[#This Row],[City]],'List of Regions'!$A$1:$A$107,'List of Regions'!$B$1:$B$107)</f>
        <v>Kingston</v>
      </c>
      <c r="L38" s="2" t="s">
        <v>174</v>
      </c>
      <c r="M38" s="2" t="s">
        <v>25</v>
      </c>
      <c r="N38">
        <v>26678</v>
      </c>
      <c r="O38" s="1">
        <v>45838</v>
      </c>
      <c r="P38">
        <v>359</v>
      </c>
    </row>
    <row r="39" spans="1:16" x14ac:dyDescent="0.25">
      <c r="A39" s="1">
        <v>45855.583333333336</v>
      </c>
      <c r="B39" s="2" t="s">
        <v>15</v>
      </c>
      <c r="C39" s="2" t="s">
        <v>171</v>
      </c>
      <c r="D39" s="2" t="s">
        <v>17</v>
      </c>
      <c r="E39" s="2" t="s">
        <v>18</v>
      </c>
      <c r="F39" s="2" t="s">
        <v>19</v>
      </c>
      <c r="G39" s="2" t="s">
        <v>152</v>
      </c>
      <c r="H39" s="2" t="s">
        <v>175</v>
      </c>
      <c r="I39" s="2" t="s">
        <v>176</v>
      </c>
      <c r="J39" s="2" t="s">
        <v>177</v>
      </c>
      <c r="K39" s="2" t="str">
        <f>_xlfn.XLOOKUP(Data_Tracking___Test_file__1[[#This Row],[City]],'List of Regions'!$A$1:$A$107,'List of Regions'!$B$1:$B$107)</f>
        <v>Kingston</v>
      </c>
      <c r="L39" s="2" t="s">
        <v>178</v>
      </c>
      <c r="M39" s="2" t="s">
        <v>25</v>
      </c>
      <c r="N39">
        <v>26661</v>
      </c>
      <c r="O39" s="1">
        <v>45834</v>
      </c>
      <c r="P39">
        <v>419</v>
      </c>
    </row>
    <row r="40" spans="1:16" hidden="1" x14ac:dyDescent="0.25">
      <c r="A40" s="1">
        <v>45855.541666666664</v>
      </c>
      <c r="B40" s="2" t="s">
        <v>15</v>
      </c>
      <c r="C40" s="2" t="s">
        <v>171</v>
      </c>
      <c r="D40" s="2" t="s">
        <v>17</v>
      </c>
      <c r="E40" s="2" t="s">
        <v>18</v>
      </c>
      <c r="F40" s="2" t="s">
        <v>19</v>
      </c>
      <c r="G40" s="2" t="s">
        <v>137</v>
      </c>
      <c r="H40" s="2" t="s">
        <v>179</v>
      </c>
      <c r="I40" s="2" t="s">
        <v>180</v>
      </c>
      <c r="J40" s="2" t="s">
        <v>30</v>
      </c>
      <c r="K40" s="2" t="str">
        <f>_xlfn.XLOOKUP(Data_Tracking___Test_file__1[[#This Row],[City]],'List of Regions'!$A$1:$A$107,'List of Regions'!$B$1:$B$107)</f>
        <v>Kingston</v>
      </c>
      <c r="L40" s="2" t="s">
        <v>181</v>
      </c>
      <c r="M40" s="2" t="s">
        <v>25</v>
      </c>
      <c r="N40">
        <v>26657</v>
      </c>
      <c r="O40" s="1">
        <v>45833</v>
      </c>
      <c r="P40">
        <v>478</v>
      </c>
    </row>
    <row r="41" spans="1:16" hidden="1" x14ac:dyDescent="0.25">
      <c r="A41" s="1">
        <v>45855.5</v>
      </c>
      <c r="B41" s="2" t="s">
        <v>15</v>
      </c>
      <c r="C41" s="2" t="s">
        <v>171</v>
      </c>
      <c r="D41" s="2" t="s">
        <v>72</v>
      </c>
      <c r="E41" s="2" t="s">
        <v>18</v>
      </c>
      <c r="F41" s="2" t="s">
        <v>59</v>
      </c>
      <c r="G41" s="2" t="s">
        <v>182</v>
      </c>
      <c r="H41" s="2" t="s">
        <v>183</v>
      </c>
      <c r="I41" s="2" t="s">
        <v>184</v>
      </c>
      <c r="J41" s="2" t="s">
        <v>76</v>
      </c>
      <c r="K41" s="2" t="str">
        <f>_xlfn.XLOOKUP(Data_Tracking___Test_file__1[[#This Row],[City]],'List of Regions'!$A$1:$A$107,'List of Regions'!$B$1:$B$107)</f>
        <v>Ottawa</v>
      </c>
      <c r="L41" s="2" t="s">
        <v>185</v>
      </c>
      <c r="M41" s="2" t="s">
        <v>25</v>
      </c>
      <c r="N41">
        <v>26796</v>
      </c>
      <c r="O41" s="1">
        <v>45853</v>
      </c>
      <c r="P41">
        <v>404</v>
      </c>
    </row>
    <row r="42" spans="1:16" hidden="1" x14ac:dyDescent="0.25">
      <c r="A42" s="1">
        <v>45855.5</v>
      </c>
      <c r="B42" s="2" t="s">
        <v>15</v>
      </c>
      <c r="C42" s="2" t="s">
        <v>171</v>
      </c>
      <c r="D42" s="2" t="s">
        <v>72</v>
      </c>
      <c r="E42" s="2" t="s">
        <v>18</v>
      </c>
      <c r="F42" s="2" t="s">
        <v>40</v>
      </c>
      <c r="G42" s="2" t="s">
        <v>145</v>
      </c>
      <c r="H42" s="2" t="s">
        <v>186</v>
      </c>
      <c r="I42" s="2" t="s">
        <v>187</v>
      </c>
      <c r="J42" s="2" t="s">
        <v>76</v>
      </c>
      <c r="K42" s="2" t="str">
        <f>_xlfn.XLOOKUP(Data_Tracking___Test_file__1[[#This Row],[City]],'List of Regions'!$A$1:$A$107,'List of Regions'!$B$1:$B$107)</f>
        <v>Ottawa</v>
      </c>
      <c r="L42" s="2" t="s">
        <v>188</v>
      </c>
      <c r="M42" s="2" t="s">
        <v>25</v>
      </c>
      <c r="N42">
        <v>26428</v>
      </c>
      <c r="O42" s="1">
        <v>45811</v>
      </c>
      <c r="P42">
        <v>638</v>
      </c>
    </row>
    <row r="43" spans="1:16" hidden="1" x14ac:dyDescent="0.25">
      <c r="A43" s="1">
        <v>45855.5</v>
      </c>
      <c r="B43" s="2" t="s">
        <v>15</v>
      </c>
      <c r="C43" s="2" t="s">
        <v>171</v>
      </c>
      <c r="D43" s="2" t="s">
        <v>17</v>
      </c>
      <c r="E43" s="2" t="s">
        <v>18</v>
      </c>
      <c r="F43" s="2" t="s">
        <v>40</v>
      </c>
      <c r="G43" s="2" t="s">
        <v>152</v>
      </c>
      <c r="H43" s="2" t="s">
        <v>189</v>
      </c>
      <c r="I43" s="2" t="s">
        <v>190</v>
      </c>
      <c r="J43" s="2" t="s">
        <v>83</v>
      </c>
      <c r="K43" s="2" t="str">
        <f>_xlfn.XLOOKUP(Data_Tracking___Test_file__1[[#This Row],[City]],'List of Regions'!$A$1:$A$107,'List of Regions'!$B$1:$B$107)</f>
        <v>Kingston</v>
      </c>
      <c r="L43" s="2" t="s">
        <v>191</v>
      </c>
      <c r="M43" s="2" t="s">
        <v>25</v>
      </c>
      <c r="N43">
        <v>26555</v>
      </c>
      <c r="O43" s="1">
        <v>45821</v>
      </c>
      <c r="P43">
        <v>359</v>
      </c>
    </row>
    <row r="44" spans="1:16" hidden="1" x14ac:dyDescent="0.25">
      <c r="A44" s="1">
        <v>45855.416666666664</v>
      </c>
      <c r="B44" s="2" t="s">
        <v>15</v>
      </c>
      <c r="C44" s="2" t="s">
        <v>171</v>
      </c>
      <c r="D44" s="2" t="s">
        <v>17</v>
      </c>
      <c r="E44" s="2" t="s">
        <v>18</v>
      </c>
      <c r="F44" s="2" t="s">
        <v>26</v>
      </c>
      <c r="G44" s="2" t="s">
        <v>152</v>
      </c>
      <c r="H44" s="2" t="s">
        <v>192</v>
      </c>
      <c r="I44" s="2" t="s">
        <v>193</v>
      </c>
      <c r="J44" s="2" t="s">
        <v>83</v>
      </c>
      <c r="K44" s="2" t="str">
        <f>_xlfn.XLOOKUP(Data_Tracking___Test_file__1[[#This Row],[City]],'List of Regions'!$A$1:$A$107,'List of Regions'!$B$1:$B$107)</f>
        <v>Kingston</v>
      </c>
      <c r="L44" s="2" t="s">
        <v>194</v>
      </c>
      <c r="M44" s="2" t="s">
        <v>25</v>
      </c>
      <c r="N44">
        <v>26614</v>
      </c>
      <c r="O44" s="1">
        <v>45830</v>
      </c>
      <c r="P44">
        <v>468</v>
      </c>
    </row>
    <row r="45" spans="1:16" hidden="1" x14ac:dyDescent="0.25">
      <c r="A45" s="1">
        <v>45855.416666666664</v>
      </c>
      <c r="B45" s="2" t="s">
        <v>15</v>
      </c>
      <c r="C45" s="2" t="s">
        <v>171</v>
      </c>
      <c r="D45" s="2" t="s">
        <v>72</v>
      </c>
      <c r="E45" s="2" t="s">
        <v>18</v>
      </c>
      <c r="F45" s="2" t="s">
        <v>19</v>
      </c>
      <c r="G45" s="2" t="s">
        <v>145</v>
      </c>
      <c r="H45" s="2" t="s">
        <v>195</v>
      </c>
      <c r="I45" s="2" t="s">
        <v>196</v>
      </c>
      <c r="J45" s="2" t="s">
        <v>76</v>
      </c>
      <c r="K45" s="2" t="str">
        <f>_xlfn.XLOOKUP(Data_Tracking___Test_file__1[[#This Row],[City]],'List of Regions'!$A$1:$A$107,'List of Regions'!$B$1:$B$107)</f>
        <v>Ottawa</v>
      </c>
      <c r="L45" s="2" t="s">
        <v>197</v>
      </c>
      <c r="M45" s="2" t="s">
        <v>25</v>
      </c>
      <c r="N45">
        <v>26618</v>
      </c>
      <c r="O45" s="1">
        <v>45831</v>
      </c>
      <c r="P45">
        <v>378</v>
      </c>
    </row>
    <row r="46" spans="1:16" x14ac:dyDescent="0.25">
      <c r="A46" s="1">
        <v>45855.333333333336</v>
      </c>
      <c r="B46" s="2" t="s">
        <v>15</v>
      </c>
      <c r="C46" s="2" t="s">
        <v>171</v>
      </c>
      <c r="D46" s="2" t="s">
        <v>17</v>
      </c>
      <c r="E46" s="2" t="s">
        <v>18</v>
      </c>
      <c r="F46" s="2" t="s">
        <v>19</v>
      </c>
      <c r="G46" s="2" t="s">
        <v>152</v>
      </c>
      <c r="H46" s="2" t="s">
        <v>198</v>
      </c>
      <c r="I46" s="2" t="s">
        <v>199</v>
      </c>
      <c r="J46" s="2" t="s">
        <v>155</v>
      </c>
      <c r="K46" s="2" t="str">
        <f>_xlfn.XLOOKUP(Data_Tracking___Test_file__1[[#This Row],[City]],'List of Regions'!$A$1:$A$107,'List of Regions'!$B$1:$B$107)</f>
        <v>Kingston</v>
      </c>
      <c r="L46" s="2" t="s">
        <v>200</v>
      </c>
      <c r="M46" s="2" t="s">
        <v>25</v>
      </c>
      <c r="N46">
        <v>26660</v>
      </c>
      <c r="O46" s="1">
        <v>45834</v>
      </c>
      <c r="P46">
        <v>314</v>
      </c>
    </row>
    <row r="47" spans="1:16" x14ac:dyDescent="0.25">
      <c r="A47" s="1">
        <v>45855.333333333336</v>
      </c>
      <c r="B47" s="2" t="s">
        <v>15</v>
      </c>
      <c r="C47" s="2" t="s">
        <v>171</v>
      </c>
      <c r="D47" s="2" t="s">
        <v>123</v>
      </c>
      <c r="E47" s="2" t="s">
        <v>18</v>
      </c>
      <c r="F47" s="2" t="s">
        <v>118</v>
      </c>
      <c r="G47" s="2" t="s">
        <v>137</v>
      </c>
      <c r="H47" s="2" t="s">
        <v>201</v>
      </c>
      <c r="I47" s="2" t="s">
        <v>202</v>
      </c>
      <c r="J47" s="2" t="s">
        <v>203</v>
      </c>
      <c r="K47" s="2" t="str">
        <f>_xlfn.XLOOKUP(Data_Tracking___Test_file__1[[#This Row],[City]],'List of Regions'!$A$1:$A$107,'List of Regions'!$B$1:$B$107)</f>
        <v>Kingston</v>
      </c>
      <c r="L47" s="2" t="s">
        <v>204</v>
      </c>
      <c r="M47" s="2" t="s">
        <v>25</v>
      </c>
      <c r="N47">
        <v>26550</v>
      </c>
      <c r="O47" s="1">
        <v>45820</v>
      </c>
      <c r="P47">
        <v>400</v>
      </c>
    </row>
    <row r="48" spans="1:16" hidden="1" x14ac:dyDescent="0.25">
      <c r="A48" s="1">
        <v>45854.604166666664</v>
      </c>
      <c r="B48" s="2" t="s">
        <v>15</v>
      </c>
      <c r="C48" s="2" t="s">
        <v>16</v>
      </c>
      <c r="D48" s="2" t="s">
        <v>72</v>
      </c>
      <c r="E48" s="2" t="s">
        <v>18</v>
      </c>
      <c r="F48" s="2" t="s">
        <v>40</v>
      </c>
      <c r="G48" s="2" t="s">
        <v>73</v>
      </c>
      <c r="H48" s="2" t="s">
        <v>205</v>
      </c>
      <c r="I48" s="2" t="s">
        <v>206</v>
      </c>
      <c r="J48" s="2" t="s">
        <v>207</v>
      </c>
      <c r="K48" s="2" t="str">
        <f>_xlfn.XLOOKUP(Data_Tracking___Test_file__1[[#This Row],[City]],'List of Regions'!$A$1:$A$107,'List of Regions'!$B$1:$B$107)</f>
        <v>Ottawa</v>
      </c>
      <c r="L48" s="2" t="s">
        <v>208</v>
      </c>
      <c r="M48" s="2" t="s">
        <v>25</v>
      </c>
      <c r="N48">
        <v>26687</v>
      </c>
      <c r="O48" s="1">
        <v>45839</v>
      </c>
      <c r="P48">
        <v>374</v>
      </c>
    </row>
    <row r="49" spans="1:16" x14ac:dyDescent="0.25">
      <c r="A49" s="1">
        <v>45854.583333333336</v>
      </c>
      <c r="B49" s="2" t="s">
        <v>15</v>
      </c>
      <c r="C49" s="2" t="s">
        <v>16</v>
      </c>
      <c r="D49" s="2" t="s">
        <v>49</v>
      </c>
      <c r="E49" s="2" t="s">
        <v>18</v>
      </c>
      <c r="F49" s="2" t="s">
        <v>19</v>
      </c>
      <c r="G49" s="2" t="s">
        <v>209</v>
      </c>
      <c r="H49" s="2" t="s">
        <v>210</v>
      </c>
      <c r="I49" s="2" t="s">
        <v>211</v>
      </c>
      <c r="J49" s="2" t="s">
        <v>212</v>
      </c>
      <c r="K49" s="2" t="str">
        <f>_xlfn.XLOOKUP(Data_Tracking___Test_file__1[[#This Row],[City]],'List of Regions'!$A$1:$A$107,'List of Regions'!$B$1:$B$107)</f>
        <v>Kingston</v>
      </c>
      <c r="L49" s="2" t="s">
        <v>213</v>
      </c>
      <c r="M49" s="2" t="s">
        <v>25</v>
      </c>
      <c r="N49">
        <v>26672</v>
      </c>
      <c r="O49" s="1">
        <v>45834</v>
      </c>
      <c r="P49">
        <v>693</v>
      </c>
    </row>
    <row r="50" spans="1:16" hidden="1" x14ac:dyDescent="0.25">
      <c r="A50" s="1">
        <v>45854.541666666664</v>
      </c>
      <c r="B50" s="2" t="s">
        <v>15</v>
      </c>
      <c r="C50" s="2" t="s">
        <v>16</v>
      </c>
      <c r="D50" s="2" t="s">
        <v>114</v>
      </c>
      <c r="E50" s="2" t="s">
        <v>18</v>
      </c>
      <c r="F50" s="2" t="s">
        <v>59</v>
      </c>
      <c r="G50" s="2" t="s">
        <v>73</v>
      </c>
      <c r="H50" s="2" t="s">
        <v>214</v>
      </c>
      <c r="I50" s="2" t="s">
        <v>215</v>
      </c>
      <c r="J50" s="2" t="s">
        <v>76</v>
      </c>
      <c r="K50" s="2" t="str">
        <f>_xlfn.XLOOKUP(Data_Tracking___Test_file__1[[#This Row],[City]],'List of Regions'!$A$1:$A$107,'List of Regions'!$B$1:$B$107)</f>
        <v>Ottawa</v>
      </c>
      <c r="L50" s="2" t="s">
        <v>216</v>
      </c>
      <c r="M50" s="2" t="s">
        <v>25</v>
      </c>
      <c r="N50">
        <v>26741</v>
      </c>
      <c r="O50" s="1">
        <v>45846</v>
      </c>
      <c r="P50">
        <v>385.2</v>
      </c>
    </row>
    <row r="51" spans="1:16" hidden="1" x14ac:dyDescent="0.25">
      <c r="A51" s="1">
        <v>45854.5</v>
      </c>
      <c r="B51" s="2" t="s">
        <v>15</v>
      </c>
      <c r="C51" s="2" t="s">
        <v>16</v>
      </c>
      <c r="D51" s="2" t="s">
        <v>17</v>
      </c>
      <c r="E51" s="2" t="s">
        <v>18</v>
      </c>
      <c r="F51" s="2" t="s">
        <v>19</v>
      </c>
      <c r="G51" s="2" t="s">
        <v>182</v>
      </c>
      <c r="H51" s="2" t="s">
        <v>217</v>
      </c>
      <c r="I51" s="2" t="s">
        <v>218</v>
      </c>
      <c r="J51" s="2" t="s">
        <v>76</v>
      </c>
      <c r="K51" s="2" t="str">
        <f>_xlfn.XLOOKUP(Data_Tracking___Test_file__1[[#This Row],[City]],'List of Regions'!$A$1:$A$107,'List of Regions'!$B$1:$B$107)</f>
        <v>Ottawa</v>
      </c>
      <c r="L51" s="2" t="s">
        <v>219</v>
      </c>
      <c r="M51" s="2" t="s">
        <v>25</v>
      </c>
      <c r="N51">
        <v>26697</v>
      </c>
      <c r="O51" s="1">
        <v>45840</v>
      </c>
      <c r="P51">
        <v>716</v>
      </c>
    </row>
    <row r="52" spans="1:16" hidden="1" x14ac:dyDescent="0.25">
      <c r="A52" s="1">
        <v>45854.5</v>
      </c>
      <c r="B52" s="2" t="s">
        <v>15</v>
      </c>
      <c r="C52" s="2" t="s">
        <v>16</v>
      </c>
      <c r="D52" s="2" t="s">
        <v>49</v>
      </c>
      <c r="E52" s="2" t="s">
        <v>18</v>
      </c>
      <c r="F52" s="2" t="s">
        <v>19</v>
      </c>
      <c r="G52" s="2" t="s">
        <v>209</v>
      </c>
      <c r="H52" s="2" t="s">
        <v>214</v>
      </c>
      <c r="I52" s="2" t="s">
        <v>220</v>
      </c>
      <c r="J52" s="2" t="s">
        <v>221</v>
      </c>
      <c r="K52" s="2" t="str">
        <f>_xlfn.XLOOKUP(Data_Tracking___Test_file__1[[#This Row],[City]],'List of Regions'!$A$1:$A$107,'List of Regions'!$B$1:$B$107)</f>
        <v>Kingston</v>
      </c>
      <c r="L52" s="2" t="s">
        <v>222</v>
      </c>
      <c r="M52" s="2" t="s">
        <v>25</v>
      </c>
      <c r="N52">
        <v>26558</v>
      </c>
      <c r="O52" s="1">
        <v>45821</v>
      </c>
      <c r="P52">
        <v>479</v>
      </c>
    </row>
    <row r="53" spans="1:16" hidden="1" x14ac:dyDescent="0.25">
      <c r="A53" s="1">
        <v>45854.5</v>
      </c>
      <c r="B53" s="2" t="s">
        <v>15</v>
      </c>
      <c r="C53" s="2" t="s">
        <v>16</v>
      </c>
      <c r="D53" s="2" t="s">
        <v>39</v>
      </c>
      <c r="E53" s="2" t="s">
        <v>18</v>
      </c>
      <c r="F53" s="2" t="s">
        <v>45</v>
      </c>
      <c r="G53" s="2" t="s">
        <v>73</v>
      </c>
      <c r="H53" s="2" t="s">
        <v>223</v>
      </c>
      <c r="I53" s="2" t="s">
        <v>224</v>
      </c>
      <c r="J53" s="2" t="s">
        <v>76</v>
      </c>
      <c r="K53" s="2" t="str">
        <f>_xlfn.XLOOKUP(Data_Tracking___Test_file__1[[#This Row],[City]],'List of Regions'!$A$1:$A$107,'List of Regions'!$B$1:$B$107)</f>
        <v>Ottawa</v>
      </c>
      <c r="L53" s="2" t="s">
        <v>225</v>
      </c>
      <c r="M53" s="2" t="s">
        <v>25</v>
      </c>
      <c r="N53">
        <v>26686</v>
      </c>
      <c r="O53" s="1">
        <v>45838</v>
      </c>
      <c r="P53">
        <v>328</v>
      </c>
    </row>
    <row r="54" spans="1:16" hidden="1" x14ac:dyDescent="0.25">
      <c r="A54" s="1">
        <v>45854.5</v>
      </c>
      <c r="B54" s="2" t="s">
        <v>15</v>
      </c>
      <c r="C54" s="2" t="s">
        <v>16</v>
      </c>
      <c r="D54" s="2" t="s">
        <v>17</v>
      </c>
      <c r="E54" s="2" t="s">
        <v>18</v>
      </c>
      <c r="F54" s="2" t="s">
        <v>26</v>
      </c>
      <c r="G54" s="2" t="s">
        <v>152</v>
      </c>
      <c r="H54" s="2" t="s">
        <v>226</v>
      </c>
      <c r="I54" s="2" t="s">
        <v>227</v>
      </c>
      <c r="J54" s="2" t="s">
        <v>30</v>
      </c>
      <c r="K54" s="2" t="str">
        <f>_xlfn.XLOOKUP(Data_Tracking___Test_file__1[[#This Row],[City]],'List of Regions'!$A$1:$A$107,'List of Regions'!$B$1:$B$107)</f>
        <v>Kingston</v>
      </c>
      <c r="L54" s="2" t="s">
        <v>228</v>
      </c>
      <c r="M54" s="2" t="s">
        <v>25</v>
      </c>
      <c r="N54">
        <v>26266</v>
      </c>
      <c r="O54" s="1">
        <v>45790</v>
      </c>
      <c r="P54">
        <v>324</v>
      </c>
    </row>
    <row r="55" spans="1:16" x14ac:dyDescent="0.25">
      <c r="A55" s="1">
        <v>45854.416666666664</v>
      </c>
      <c r="B55" s="2" t="s">
        <v>15</v>
      </c>
      <c r="C55" s="2" t="s">
        <v>16</v>
      </c>
      <c r="D55" s="2" t="s">
        <v>49</v>
      </c>
      <c r="E55" s="2" t="s">
        <v>18</v>
      </c>
      <c r="F55" s="2" t="s">
        <v>19</v>
      </c>
      <c r="G55" s="2" t="s">
        <v>209</v>
      </c>
      <c r="H55" s="2" t="s">
        <v>214</v>
      </c>
      <c r="I55" s="2" t="s">
        <v>229</v>
      </c>
      <c r="J55" s="2" t="s">
        <v>230</v>
      </c>
      <c r="K55" s="2" t="str">
        <f>_xlfn.XLOOKUP(Data_Tracking___Test_file__1[[#This Row],[City]],'List of Regions'!$A$1:$A$107,'List of Regions'!$B$1:$B$107)</f>
        <v>Kingston</v>
      </c>
      <c r="L55" s="2" t="s">
        <v>231</v>
      </c>
      <c r="M55" s="2" t="s">
        <v>25</v>
      </c>
      <c r="N55">
        <v>26390</v>
      </c>
      <c r="O55" s="1">
        <v>45805</v>
      </c>
      <c r="P55">
        <v>434</v>
      </c>
    </row>
    <row r="56" spans="1:16" hidden="1" x14ac:dyDescent="0.25">
      <c r="A56" s="1">
        <v>45854.416666666664</v>
      </c>
      <c r="B56" s="2" t="s">
        <v>15</v>
      </c>
      <c r="C56" s="2" t="s">
        <v>16</v>
      </c>
      <c r="D56" s="2" t="s">
        <v>17</v>
      </c>
      <c r="E56" s="2" t="s">
        <v>18</v>
      </c>
      <c r="F56" s="2" t="s">
        <v>26</v>
      </c>
      <c r="G56" s="2" t="s">
        <v>152</v>
      </c>
      <c r="H56" s="2" t="s">
        <v>232</v>
      </c>
      <c r="I56" s="2" t="s">
        <v>233</v>
      </c>
      <c r="J56" s="2" t="s">
        <v>30</v>
      </c>
      <c r="K56" s="2" t="str">
        <f>_xlfn.XLOOKUP(Data_Tracking___Test_file__1[[#This Row],[City]],'List of Regions'!$A$1:$A$107,'List of Regions'!$B$1:$B$107)</f>
        <v>Kingston</v>
      </c>
      <c r="L56" s="2" t="s">
        <v>234</v>
      </c>
      <c r="M56" s="2" t="s">
        <v>25</v>
      </c>
      <c r="N56">
        <v>26267</v>
      </c>
      <c r="O56" s="1">
        <v>45790</v>
      </c>
      <c r="P56">
        <v>264</v>
      </c>
    </row>
    <row r="57" spans="1:16" hidden="1" x14ac:dyDescent="0.25">
      <c r="A57" s="1">
        <v>45854.416666666664</v>
      </c>
      <c r="B57" s="2" t="s">
        <v>15</v>
      </c>
      <c r="C57" s="2" t="s">
        <v>16</v>
      </c>
      <c r="D57" s="2" t="s">
        <v>72</v>
      </c>
      <c r="E57" s="2" t="s">
        <v>18</v>
      </c>
      <c r="F57" s="2" t="s">
        <v>19</v>
      </c>
      <c r="G57" s="2" t="s">
        <v>73</v>
      </c>
      <c r="H57" s="2" t="s">
        <v>235</v>
      </c>
      <c r="I57" s="2" t="s">
        <v>236</v>
      </c>
      <c r="J57" s="2" t="s">
        <v>76</v>
      </c>
      <c r="K57" s="2" t="str">
        <f>_xlfn.XLOOKUP(Data_Tracking___Test_file__1[[#This Row],[City]],'List of Regions'!$A$1:$A$107,'List of Regions'!$B$1:$B$107)</f>
        <v>Ottawa</v>
      </c>
      <c r="L57" s="2" t="s">
        <v>237</v>
      </c>
      <c r="M57" s="2" t="s">
        <v>25</v>
      </c>
      <c r="N57">
        <v>26670</v>
      </c>
      <c r="O57" s="1">
        <v>45834</v>
      </c>
      <c r="P57">
        <v>663</v>
      </c>
    </row>
    <row r="58" spans="1:16" x14ac:dyDescent="0.25">
      <c r="A58" s="1">
        <v>45854.333333333336</v>
      </c>
      <c r="B58" s="2" t="s">
        <v>15</v>
      </c>
      <c r="C58" s="2" t="s">
        <v>16</v>
      </c>
      <c r="D58" s="2" t="s">
        <v>17</v>
      </c>
      <c r="E58" s="2" t="s">
        <v>18</v>
      </c>
      <c r="F58" s="2" t="s">
        <v>118</v>
      </c>
      <c r="G58" s="2" t="s">
        <v>209</v>
      </c>
      <c r="H58" s="2" t="s">
        <v>235</v>
      </c>
      <c r="I58" s="2" t="s">
        <v>238</v>
      </c>
      <c r="J58" s="2" t="s">
        <v>239</v>
      </c>
      <c r="K58" s="2" t="str">
        <f>_xlfn.XLOOKUP(Data_Tracking___Test_file__1[[#This Row],[City]],'List of Regions'!$A$1:$A$107,'List of Regions'!$B$1:$B$107)</f>
        <v>Kingston</v>
      </c>
      <c r="L58" s="2" t="s">
        <v>240</v>
      </c>
      <c r="M58" s="2" t="s">
        <v>25</v>
      </c>
      <c r="N58">
        <v>26634</v>
      </c>
      <c r="O58" s="1">
        <v>45832</v>
      </c>
      <c r="P58">
        <v>434</v>
      </c>
    </row>
    <row r="59" spans="1:16" hidden="1" x14ac:dyDescent="0.25">
      <c r="A59" s="1">
        <v>45854.333333333336</v>
      </c>
      <c r="B59" s="2" t="s">
        <v>15</v>
      </c>
      <c r="C59" s="2" t="s">
        <v>16</v>
      </c>
      <c r="D59" s="2" t="s">
        <v>17</v>
      </c>
      <c r="E59" s="2" t="s">
        <v>18</v>
      </c>
      <c r="F59" s="2" t="s">
        <v>26</v>
      </c>
      <c r="G59" s="2" t="s">
        <v>152</v>
      </c>
      <c r="H59" s="2" t="s">
        <v>241</v>
      </c>
      <c r="I59" s="2" t="s">
        <v>242</v>
      </c>
      <c r="J59" s="2" t="s">
        <v>30</v>
      </c>
      <c r="K59" s="2" t="str">
        <f>_xlfn.XLOOKUP(Data_Tracking___Test_file__1[[#This Row],[City]],'List of Regions'!$A$1:$A$107,'List of Regions'!$B$1:$B$107)</f>
        <v>Kingston</v>
      </c>
      <c r="L59" s="2" t="s">
        <v>243</v>
      </c>
      <c r="M59" s="2" t="s">
        <v>25</v>
      </c>
      <c r="N59">
        <v>26268</v>
      </c>
      <c r="O59" s="1">
        <v>45790</v>
      </c>
      <c r="P59">
        <v>279</v>
      </c>
    </row>
    <row r="60" spans="1:16" hidden="1" x14ac:dyDescent="0.25">
      <c r="A60" s="1">
        <v>45853.625</v>
      </c>
      <c r="B60" s="2" t="s">
        <v>15</v>
      </c>
      <c r="C60" s="2" t="s">
        <v>58</v>
      </c>
      <c r="D60" s="2" t="s">
        <v>72</v>
      </c>
      <c r="E60" s="2" t="s">
        <v>18</v>
      </c>
      <c r="F60" s="2" t="s">
        <v>35</v>
      </c>
      <c r="G60" s="2" t="s">
        <v>73</v>
      </c>
      <c r="H60" s="2" t="s">
        <v>244</v>
      </c>
      <c r="I60" s="2" t="s">
        <v>245</v>
      </c>
      <c r="J60" s="2" t="s">
        <v>76</v>
      </c>
      <c r="K60" s="2" t="str">
        <f>_xlfn.XLOOKUP(Data_Tracking___Test_file__1[[#This Row],[City]],'List of Regions'!$A$1:$A$107,'List of Regions'!$B$1:$B$107)</f>
        <v>Ottawa</v>
      </c>
      <c r="L60" s="2" t="s">
        <v>246</v>
      </c>
      <c r="M60" s="2" t="s">
        <v>25</v>
      </c>
      <c r="N60">
        <v>26629</v>
      </c>
      <c r="O60" s="1">
        <v>45832</v>
      </c>
      <c r="P60">
        <v>374</v>
      </c>
    </row>
    <row r="61" spans="1:16" hidden="1" x14ac:dyDescent="0.25">
      <c r="A61" s="1">
        <v>45853.604166666664</v>
      </c>
      <c r="B61" s="2" t="s">
        <v>15</v>
      </c>
      <c r="C61" s="2" t="s">
        <v>58</v>
      </c>
      <c r="D61" s="2" t="s">
        <v>247</v>
      </c>
      <c r="E61" s="2" t="s">
        <v>18</v>
      </c>
      <c r="F61" s="2" t="s">
        <v>19</v>
      </c>
      <c r="G61" s="2" t="s">
        <v>73</v>
      </c>
      <c r="H61" s="2" t="s">
        <v>235</v>
      </c>
      <c r="I61" s="2" t="s">
        <v>248</v>
      </c>
      <c r="J61" s="2" t="s">
        <v>76</v>
      </c>
      <c r="K61" s="2" t="str">
        <f>_xlfn.XLOOKUP(Data_Tracking___Test_file__1[[#This Row],[City]],'List of Regions'!$A$1:$A$107,'List of Regions'!$B$1:$B$107)</f>
        <v>Ottawa</v>
      </c>
      <c r="L61" s="2" t="s">
        <v>249</v>
      </c>
      <c r="M61" s="2" t="s">
        <v>25</v>
      </c>
      <c r="N61">
        <v>26714</v>
      </c>
      <c r="O61" s="1">
        <v>45842</v>
      </c>
      <c r="P61">
        <v>129.99</v>
      </c>
    </row>
    <row r="62" spans="1:16" hidden="1" x14ac:dyDescent="0.25">
      <c r="A62" s="1">
        <v>45853.583333333336</v>
      </c>
      <c r="B62" s="2" t="s">
        <v>15</v>
      </c>
      <c r="C62" s="2" t="s">
        <v>58</v>
      </c>
      <c r="D62" s="2" t="s">
        <v>247</v>
      </c>
      <c r="E62" s="2" t="s">
        <v>18</v>
      </c>
      <c r="F62" s="2" t="s">
        <v>19</v>
      </c>
      <c r="G62" s="2" t="s">
        <v>73</v>
      </c>
      <c r="H62" s="2" t="s">
        <v>235</v>
      </c>
      <c r="I62" s="2" t="s">
        <v>250</v>
      </c>
      <c r="J62" s="2" t="s">
        <v>76</v>
      </c>
      <c r="K62" s="2" t="str">
        <f>_xlfn.XLOOKUP(Data_Tracking___Test_file__1[[#This Row],[City]],'List of Regions'!$A$1:$A$107,'List of Regions'!$B$1:$B$107)</f>
        <v>Ottawa</v>
      </c>
      <c r="L62" s="2" t="s">
        <v>251</v>
      </c>
      <c r="M62" s="2" t="s">
        <v>25</v>
      </c>
      <c r="N62">
        <v>26713</v>
      </c>
      <c r="O62" s="1">
        <v>45842</v>
      </c>
      <c r="P62">
        <v>129.99</v>
      </c>
    </row>
    <row r="63" spans="1:16" x14ac:dyDescent="0.25">
      <c r="A63" s="1">
        <v>45853.583333333336</v>
      </c>
      <c r="B63" s="2" t="s">
        <v>15</v>
      </c>
      <c r="C63" s="2" t="s">
        <v>58</v>
      </c>
      <c r="D63" s="2" t="s">
        <v>17</v>
      </c>
      <c r="E63" s="2" t="s">
        <v>18</v>
      </c>
      <c r="F63" s="2" t="s">
        <v>40</v>
      </c>
      <c r="G63" s="2" t="s">
        <v>137</v>
      </c>
      <c r="H63" s="2" t="s">
        <v>252</v>
      </c>
      <c r="I63" s="2" t="s">
        <v>253</v>
      </c>
      <c r="J63" s="2" t="s">
        <v>177</v>
      </c>
      <c r="K63" s="2" t="str">
        <f>_xlfn.XLOOKUP(Data_Tracking___Test_file__1[[#This Row],[City]],'List of Regions'!$A$1:$A$107,'List of Regions'!$B$1:$B$107)</f>
        <v>Kingston</v>
      </c>
      <c r="L63" s="2" t="s">
        <v>254</v>
      </c>
      <c r="M63" s="2" t="s">
        <v>25</v>
      </c>
      <c r="N63">
        <v>26422</v>
      </c>
      <c r="O63" s="1">
        <v>45810</v>
      </c>
      <c r="P63">
        <v>503</v>
      </c>
    </row>
    <row r="64" spans="1:16" x14ac:dyDescent="0.25">
      <c r="A64" s="1">
        <v>45853.583333333336</v>
      </c>
      <c r="B64" s="2" t="s">
        <v>15</v>
      </c>
      <c r="C64" s="2" t="s">
        <v>58</v>
      </c>
      <c r="D64" s="2" t="s">
        <v>17</v>
      </c>
      <c r="E64" s="2" t="s">
        <v>18</v>
      </c>
      <c r="F64" s="2" t="s">
        <v>40</v>
      </c>
      <c r="G64" s="2" t="s">
        <v>152</v>
      </c>
      <c r="H64" s="2" t="s">
        <v>235</v>
      </c>
      <c r="I64" s="2" t="s">
        <v>255</v>
      </c>
      <c r="J64" s="2" t="s">
        <v>95</v>
      </c>
      <c r="K64" s="2" t="str">
        <f>_xlfn.XLOOKUP(Data_Tracking___Test_file__1[[#This Row],[City]],'List of Regions'!$A$1:$A$107,'List of Regions'!$B$1:$B$107)</f>
        <v>Kingston</v>
      </c>
      <c r="L64" s="2" t="s">
        <v>256</v>
      </c>
      <c r="M64" s="2" t="s">
        <v>25</v>
      </c>
      <c r="N64">
        <v>26645</v>
      </c>
      <c r="O64" s="1">
        <v>45833</v>
      </c>
      <c r="P64">
        <v>428</v>
      </c>
    </row>
    <row r="65" spans="1:16" hidden="1" x14ac:dyDescent="0.25">
      <c r="A65" s="1">
        <v>45853.5625</v>
      </c>
      <c r="B65" s="2" t="s">
        <v>15</v>
      </c>
      <c r="C65" s="2" t="s">
        <v>58</v>
      </c>
      <c r="D65" s="2" t="s">
        <v>39</v>
      </c>
      <c r="E65" s="2" t="s">
        <v>18</v>
      </c>
      <c r="F65" s="2" t="s">
        <v>19</v>
      </c>
      <c r="G65" s="2" t="s">
        <v>73</v>
      </c>
      <c r="H65" s="2" t="s">
        <v>235</v>
      </c>
      <c r="I65" s="2" t="s">
        <v>257</v>
      </c>
      <c r="J65" s="2" t="s">
        <v>76</v>
      </c>
      <c r="K65" s="2" t="str">
        <f>_xlfn.XLOOKUP(Data_Tracking___Test_file__1[[#This Row],[City]],'List of Regions'!$A$1:$A$107,'List of Regions'!$B$1:$B$107)</f>
        <v>Ottawa</v>
      </c>
      <c r="L65" s="2" t="s">
        <v>258</v>
      </c>
      <c r="M65" s="2" t="s">
        <v>25</v>
      </c>
      <c r="N65">
        <v>26712</v>
      </c>
      <c r="O65" s="1">
        <v>45842</v>
      </c>
      <c r="P65">
        <v>129.99</v>
      </c>
    </row>
    <row r="66" spans="1:16" hidden="1" x14ac:dyDescent="0.25">
      <c r="A66" s="1">
        <v>45853.541666666664</v>
      </c>
      <c r="B66" s="2" t="s">
        <v>15</v>
      </c>
      <c r="C66" s="2" t="s">
        <v>58</v>
      </c>
      <c r="D66" s="2" t="s">
        <v>39</v>
      </c>
      <c r="E66" s="2" t="s">
        <v>18</v>
      </c>
      <c r="F66" s="2" t="s">
        <v>19</v>
      </c>
      <c r="G66" s="2" t="s">
        <v>73</v>
      </c>
      <c r="H66" s="2" t="s">
        <v>259</v>
      </c>
      <c r="I66" s="2" t="s">
        <v>260</v>
      </c>
      <c r="J66" s="2" t="s">
        <v>76</v>
      </c>
      <c r="K66" s="2" t="str">
        <f>_xlfn.XLOOKUP(Data_Tracking___Test_file__1[[#This Row],[City]],'List of Regions'!$A$1:$A$107,'List of Regions'!$B$1:$B$107)</f>
        <v>Ottawa</v>
      </c>
      <c r="L66" s="2" t="s">
        <v>261</v>
      </c>
      <c r="M66" s="2" t="s">
        <v>25</v>
      </c>
      <c r="N66">
        <v>26711</v>
      </c>
      <c r="O66" s="1">
        <v>45842</v>
      </c>
      <c r="P66">
        <v>129.99</v>
      </c>
    </row>
    <row r="67" spans="1:16" hidden="1" x14ac:dyDescent="0.25">
      <c r="A67" s="1">
        <v>45853.541666666664</v>
      </c>
      <c r="B67" s="2" t="s">
        <v>15</v>
      </c>
      <c r="C67" s="2" t="s">
        <v>58</v>
      </c>
      <c r="D67" s="2" t="s">
        <v>17</v>
      </c>
      <c r="E67" s="2" t="s">
        <v>18</v>
      </c>
      <c r="F67" s="2" t="s">
        <v>19</v>
      </c>
      <c r="G67" s="2" t="s">
        <v>137</v>
      </c>
      <c r="H67" s="2" t="s">
        <v>235</v>
      </c>
      <c r="I67" s="2" t="s">
        <v>262</v>
      </c>
      <c r="J67" s="2" t="s">
        <v>83</v>
      </c>
      <c r="K67" s="2" t="str">
        <f>_xlfn.XLOOKUP(Data_Tracking___Test_file__1[[#This Row],[City]],'List of Regions'!$A$1:$A$107,'List of Regions'!$B$1:$B$107)</f>
        <v>Kingston</v>
      </c>
      <c r="L67" s="2" t="s">
        <v>263</v>
      </c>
      <c r="M67" s="2" t="s">
        <v>25</v>
      </c>
      <c r="N67">
        <v>26696</v>
      </c>
      <c r="O67" s="1">
        <v>45840</v>
      </c>
      <c r="P67">
        <v>339</v>
      </c>
    </row>
    <row r="68" spans="1:16" hidden="1" x14ac:dyDescent="0.25">
      <c r="A68" s="1">
        <v>45853.520833333336</v>
      </c>
      <c r="B68" s="2" t="s">
        <v>15</v>
      </c>
      <c r="C68" s="2" t="s">
        <v>58</v>
      </c>
      <c r="D68" s="2" t="s">
        <v>39</v>
      </c>
      <c r="E68" s="2" t="s">
        <v>18</v>
      </c>
      <c r="F68" s="2" t="s">
        <v>19</v>
      </c>
      <c r="G68" s="2" t="s">
        <v>73</v>
      </c>
      <c r="H68" s="2" t="s">
        <v>264</v>
      </c>
      <c r="I68" s="2" t="s">
        <v>265</v>
      </c>
      <c r="J68" s="2" t="s">
        <v>76</v>
      </c>
      <c r="K68" s="2" t="str">
        <f>_xlfn.XLOOKUP(Data_Tracking___Test_file__1[[#This Row],[City]],'List of Regions'!$A$1:$A$107,'List of Regions'!$B$1:$B$107)</f>
        <v>Ottawa</v>
      </c>
      <c r="L68" s="2" t="s">
        <v>266</v>
      </c>
      <c r="M68" s="2" t="s">
        <v>25</v>
      </c>
      <c r="N68">
        <v>26710</v>
      </c>
      <c r="O68" s="1">
        <v>45842</v>
      </c>
      <c r="P68">
        <v>129.99</v>
      </c>
    </row>
    <row r="69" spans="1:16" hidden="1" x14ac:dyDescent="0.25">
      <c r="A69" s="1">
        <v>45853.5</v>
      </c>
      <c r="B69" s="2" t="s">
        <v>15</v>
      </c>
      <c r="C69" s="2" t="s">
        <v>58</v>
      </c>
      <c r="D69" s="2" t="s">
        <v>39</v>
      </c>
      <c r="E69" s="2" t="s">
        <v>18</v>
      </c>
      <c r="F69" s="2" t="s">
        <v>19</v>
      </c>
      <c r="G69" s="2" t="s">
        <v>73</v>
      </c>
      <c r="H69" s="2" t="s">
        <v>267</v>
      </c>
      <c r="I69" s="2" t="s">
        <v>268</v>
      </c>
      <c r="J69" s="2" t="s">
        <v>76</v>
      </c>
      <c r="K69" s="2" t="str">
        <f>_xlfn.XLOOKUP(Data_Tracking___Test_file__1[[#This Row],[City]],'List of Regions'!$A$1:$A$107,'List of Regions'!$B$1:$B$107)</f>
        <v>Ottawa</v>
      </c>
      <c r="L69" s="2" t="s">
        <v>269</v>
      </c>
      <c r="M69" s="2" t="s">
        <v>25</v>
      </c>
      <c r="N69">
        <v>26709</v>
      </c>
      <c r="O69" s="1">
        <v>45842</v>
      </c>
      <c r="P69">
        <v>129.99</v>
      </c>
    </row>
    <row r="70" spans="1:16" hidden="1" x14ac:dyDescent="0.25">
      <c r="A70" s="1">
        <v>45853.5</v>
      </c>
      <c r="B70" s="2" t="s">
        <v>15</v>
      </c>
      <c r="C70" s="2" t="s">
        <v>58</v>
      </c>
      <c r="D70" s="2" t="s">
        <v>17</v>
      </c>
      <c r="E70" s="2" t="s">
        <v>18</v>
      </c>
      <c r="F70" s="2" t="s">
        <v>40</v>
      </c>
      <c r="G70" s="2" t="s">
        <v>152</v>
      </c>
      <c r="H70" s="2" t="s">
        <v>270</v>
      </c>
      <c r="I70" s="2" t="s">
        <v>271</v>
      </c>
      <c r="J70" s="2" t="s">
        <v>272</v>
      </c>
      <c r="K70" s="2" t="str">
        <f>_xlfn.XLOOKUP(Data_Tracking___Test_file__1[[#This Row],[City]],'List of Regions'!$A$1:$A$107,'List of Regions'!$B$1:$B$107)</f>
        <v>Ottawa</v>
      </c>
      <c r="L70" s="2" t="s">
        <v>273</v>
      </c>
      <c r="M70" s="2" t="s">
        <v>25</v>
      </c>
      <c r="N70">
        <v>26274</v>
      </c>
      <c r="O70" s="1">
        <v>45790</v>
      </c>
      <c r="P70">
        <v>539</v>
      </c>
    </row>
    <row r="71" spans="1:16" hidden="1" x14ac:dyDescent="0.25">
      <c r="A71" s="1">
        <v>45853.479166666664</v>
      </c>
      <c r="B71" s="2" t="s">
        <v>15</v>
      </c>
      <c r="C71" s="2" t="s">
        <v>58</v>
      </c>
      <c r="D71" s="2" t="s">
        <v>274</v>
      </c>
      <c r="E71" s="2" t="s">
        <v>18</v>
      </c>
      <c r="F71" s="2" t="s">
        <v>19</v>
      </c>
      <c r="G71" s="2" t="s">
        <v>73</v>
      </c>
      <c r="H71" s="2" t="s">
        <v>275</v>
      </c>
      <c r="I71" s="2" t="s">
        <v>276</v>
      </c>
      <c r="J71" s="2" t="s">
        <v>76</v>
      </c>
      <c r="K71" s="2" t="str">
        <f>_xlfn.XLOOKUP(Data_Tracking___Test_file__1[[#This Row],[City]],'List of Regions'!$A$1:$A$107,'List of Regions'!$B$1:$B$107)</f>
        <v>Ottawa</v>
      </c>
      <c r="L71" s="2" t="s">
        <v>277</v>
      </c>
      <c r="M71" s="2" t="s">
        <v>25</v>
      </c>
      <c r="N71">
        <v>26762</v>
      </c>
      <c r="O71" s="1">
        <v>45849</v>
      </c>
      <c r="P71">
        <v>129.99</v>
      </c>
    </row>
    <row r="72" spans="1:16" hidden="1" x14ac:dyDescent="0.25">
      <c r="A72" s="1">
        <v>45853.416666666664</v>
      </c>
      <c r="B72" s="2" t="s">
        <v>15</v>
      </c>
      <c r="C72" s="2" t="s">
        <v>58</v>
      </c>
      <c r="D72" s="2" t="s">
        <v>17</v>
      </c>
      <c r="E72" s="2" t="s">
        <v>18</v>
      </c>
      <c r="F72" s="2" t="s">
        <v>26</v>
      </c>
      <c r="G72" s="2" t="s">
        <v>152</v>
      </c>
      <c r="H72" s="2" t="s">
        <v>278</v>
      </c>
      <c r="I72" s="2" t="s">
        <v>279</v>
      </c>
      <c r="J72" s="2" t="s">
        <v>280</v>
      </c>
      <c r="K72" s="2" t="str">
        <f>_xlfn.XLOOKUP(Data_Tracking___Test_file__1[[#This Row],[City]],'List of Regions'!$A$1:$A$107,'List of Regions'!$B$1:$B$107)</f>
        <v>Ottawa</v>
      </c>
      <c r="L72" s="2" t="s">
        <v>281</v>
      </c>
      <c r="M72" s="2" t="s">
        <v>25</v>
      </c>
      <c r="N72">
        <v>26609</v>
      </c>
      <c r="O72" s="1">
        <v>45829</v>
      </c>
      <c r="P72">
        <v>299</v>
      </c>
    </row>
    <row r="73" spans="1:16" hidden="1" x14ac:dyDescent="0.25">
      <c r="A73" s="1">
        <v>45853.416666666664</v>
      </c>
      <c r="B73" s="2" t="s">
        <v>15</v>
      </c>
      <c r="C73" s="2" t="s">
        <v>58</v>
      </c>
      <c r="D73" s="2" t="s">
        <v>17</v>
      </c>
      <c r="E73" s="2" t="s">
        <v>18</v>
      </c>
      <c r="F73" s="2" t="s">
        <v>19</v>
      </c>
      <c r="G73" s="2" t="s">
        <v>73</v>
      </c>
      <c r="H73" s="2" t="s">
        <v>282</v>
      </c>
      <c r="I73" s="2" t="s">
        <v>283</v>
      </c>
      <c r="J73" s="2" t="s">
        <v>76</v>
      </c>
      <c r="K73" s="2" t="str">
        <f>_xlfn.XLOOKUP(Data_Tracking___Test_file__1[[#This Row],[City]],'List of Regions'!$A$1:$A$107,'List of Regions'!$B$1:$B$107)</f>
        <v>Ottawa</v>
      </c>
      <c r="L73" s="2" t="s">
        <v>284</v>
      </c>
      <c r="M73" s="2" t="s">
        <v>25</v>
      </c>
      <c r="N73">
        <v>26639</v>
      </c>
      <c r="O73" s="1">
        <v>45832</v>
      </c>
      <c r="P73">
        <v>404</v>
      </c>
    </row>
    <row r="74" spans="1:16" hidden="1" x14ac:dyDescent="0.25">
      <c r="A74" s="1">
        <v>45853.416666666664</v>
      </c>
      <c r="B74" s="2" t="s">
        <v>15</v>
      </c>
      <c r="C74" s="2" t="s">
        <v>58</v>
      </c>
      <c r="D74" s="2" t="s">
        <v>123</v>
      </c>
      <c r="E74" s="2" t="s">
        <v>18</v>
      </c>
      <c r="F74" s="2" t="s">
        <v>118</v>
      </c>
      <c r="G74" s="2" t="s">
        <v>137</v>
      </c>
      <c r="H74" s="2" t="s">
        <v>285</v>
      </c>
      <c r="I74" s="2" t="s">
        <v>286</v>
      </c>
      <c r="J74" s="2" t="s">
        <v>83</v>
      </c>
      <c r="K74" s="2" t="str">
        <f>_xlfn.XLOOKUP(Data_Tracking___Test_file__1[[#This Row],[City]],'List of Regions'!$A$1:$A$107,'List of Regions'!$B$1:$B$107)</f>
        <v>Kingston</v>
      </c>
      <c r="L74" s="2" t="s">
        <v>287</v>
      </c>
      <c r="M74" s="2" t="s">
        <v>25</v>
      </c>
      <c r="N74">
        <v>26537</v>
      </c>
      <c r="O74" s="1">
        <v>45818</v>
      </c>
      <c r="P74">
        <v>374</v>
      </c>
    </row>
    <row r="75" spans="1:16" hidden="1" x14ac:dyDescent="0.25">
      <c r="A75" s="1">
        <v>45853.375</v>
      </c>
      <c r="B75" s="2" t="s">
        <v>15</v>
      </c>
      <c r="C75" s="2" t="s">
        <v>58</v>
      </c>
      <c r="D75" s="2" t="s">
        <v>39</v>
      </c>
      <c r="E75" s="2" t="s">
        <v>18</v>
      </c>
      <c r="F75" s="2" t="s">
        <v>19</v>
      </c>
      <c r="G75" s="2" t="s">
        <v>73</v>
      </c>
      <c r="H75" s="2" t="s">
        <v>288</v>
      </c>
      <c r="I75" s="2" t="s">
        <v>289</v>
      </c>
      <c r="J75" s="2" t="s">
        <v>76</v>
      </c>
      <c r="K75" s="2" t="str">
        <f>_xlfn.XLOOKUP(Data_Tracking___Test_file__1[[#This Row],[City]],'List of Regions'!$A$1:$A$107,'List of Regions'!$B$1:$B$107)</f>
        <v>Ottawa</v>
      </c>
      <c r="L75" s="2" t="s">
        <v>290</v>
      </c>
      <c r="M75" s="2" t="s">
        <v>25</v>
      </c>
      <c r="N75">
        <v>26681</v>
      </c>
      <c r="O75" s="1">
        <v>45838</v>
      </c>
      <c r="P75">
        <v>349</v>
      </c>
    </row>
    <row r="76" spans="1:16" hidden="1" x14ac:dyDescent="0.25">
      <c r="A76" s="1">
        <v>45853.333333333336</v>
      </c>
      <c r="B76" s="2" t="s">
        <v>15</v>
      </c>
      <c r="C76" s="2" t="s">
        <v>58</v>
      </c>
      <c r="D76" s="2" t="s">
        <v>17</v>
      </c>
      <c r="E76" s="2" t="s">
        <v>18</v>
      </c>
      <c r="F76" s="2" t="s">
        <v>35</v>
      </c>
      <c r="G76" s="2" t="s">
        <v>137</v>
      </c>
      <c r="H76" s="2" t="s">
        <v>291</v>
      </c>
      <c r="I76" s="2" t="s">
        <v>292</v>
      </c>
      <c r="J76" s="2" t="s">
        <v>83</v>
      </c>
      <c r="K76" s="2" t="str">
        <f>_xlfn.XLOOKUP(Data_Tracking___Test_file__1[[#This Row],[City]],'List of Regions'!$A$1:$A$107,'List of Regions'!$B$1:$B$107)</f>
        <v>Kingston</v>
      </c>
      <c r="L76" s="2" t="s">
        <v>293</v>
      </c>
      <c r="M76" s="2" t="s">
        <v>25</v>
      </c>
      <c r="N76">
        <v>26646</v>
      </c>
      <c r="O76" s="1">
        <v>45833</v>
      </c>
      <c r="P76">
        <v>398</v>
      </c>
    </row>
    <row r="77" spans="1:16" hidden="1" x14ac:dyDescent="0.25">
      <c r="A77" s="1">
        <v>45853.333333333336</v>
      </c>
      <c r="B77" s="2" t="s">
        <v>15</v>
      </c>
      <c r="C77" s="2" t="s">
        <v>58</v>
      </c>
      <c r="D77" s="2" t="s">
        <v>123</v>
      </c>
      <c r="E77" s="2" t="s">
        <v>18</v>
      </c>
      <c r="F77" s="2" t="s">
        <v>118</v>
      </c>
      <c r="G77" s="2" t="s">
        <v>294</v>
      </c>
      <c r="H77" s="2" t="s">
        <v>295</v>
      </c>
      <c r="I77" s="2" t="s">
        <v>296</v>
      </c>
      <c r="J77" s="2" t="s">
        <v>76</v>
      </c>
      <c r="K77" s="2" t="str">
        <f>_xlfn.XLOOKUP(Data_Tracking___Test_file__1[[#This Row],[City]],'List of Regions'!$A$1:$A$107,'List of Regions'!$B$1:$B$107)</f>
        <v>Ottawa</v>
      </c>
      <c r="L77" s="2" t="s">
        <v>297</v>
      </c>
      <c r="M77" s="2" t="s">
        <v>25</v>
      </c>
      <c r="N77">
        <v>26763</v>
      </c>
      <c r="O77" s="1">
        <v>45849</v>
      </c>
      <c r="P77">
        <v>2350</v>
      </c>
    </row>
    <row r="78" spans="1:16" x14ac:dyDescent="0.25">
      <c r="A78" s="1">
        <v>45853.333333333336</v>
      </c>
      <c r="B78" s="2" t="s">
        <v>15</v>
      </c>
      <c r="C78" s="2" t="s">
        <v>58</v>
      </c>
      <c r="D78" s="2" t="s">
        <v>114</v>
      </c>
      <c r="E78" s="2" t="s">
        <v>18</v>
      </c>
      <c r="F78" s="2" t="s">
        <v>19</v>
      </c>
      <c r="G78" s="2" t="s">
        <v>152</v>
      </c>
      <c r="H78" s="2" t="s">
        <v>298</v>
      </c>
      <c r="I78" s="2" t="s">
        <v>299</v>
      </c>
      <c r="J78" s="2" t="s">
        <v>300</v>
      </c>
      <c r="K78" s="2" t="str">
        <f>_xlfn.XLOOKUP(Data_Tracking___Test_file__1[[#This Row],[City]],'List of Regions'!$A$1:$A$107,'List of Regions'!$B$1:$B$107)</f>
        <v>Kingston</v>
      </c>
      <c r="L78" s="2" t="s">
        <v>301</v>
      </c>
      <c r="M78" s="2" t="s">
        <v>25</v>
      </c>
      <c r="N78">
        <v>26717</v>
      </c>
      <c r="O78" s="1">
        <v>45842</v>
      </c>
      <c r="P78">
        <v>438</v>
      </c>
    </row>
    <row r="79" spans="1:16" x14ac:dyDescent="0.25">
      <c r="A79" s="1">
        <v>45853.333333333336</v>
      </c>
      <c r="B79" s="2" t="s">
        <v>15</v>
      </c>
      <c r="C79" s="2" t="s">
        <v>58</v>
      </c>
      <c r="D79" s="2" t="s">
        <v>72</v>
      </c>
      <c r="E79" s="2" t="s">
        <v>18</v>
      </c>
      <c r="F79" s="2" t="s">
        <v>19</v>
      </c>
      <c r="G79" s="2" t="s">
        <v>73</v>
      </c>
      <c r="H79" s="2" t="s">
        <v>302</v>
      </c>
      <c r="I79" s="2" t="s">
        <v>303</v>
      </c>
      <c r="J79" s="2" t="s">
        <v>304</v>
      </c>
      <c r="K79" s="2" t="str">
        <f>_xlfn.XLOOKUP(Data_Tracking___Test_file__1[[#This Row],[City]],'List of Regions'!$A$1:$A$107,'List of Regions'!$B$1:$B$107)</f>
        <v>Ottawa</v>
      </c>
      <c r="L79" s="2" t="s">
        <v>305</v>
      </c>
      <c r="M79" s="2" t="s">
        <v>25</v>
      </c>
      <c r="N79">
        <v>26631</v>
      </c>
      <c r="O79" s="1">
        <v>45832</v>
      </c>
      <c r="P79">
        <v>444</v>
      </c>
    </row>
    <row r="80" spans="1:16" hidden="1" x14ac:dyDescent="0.25">
      <c r="A80" s="1">
        <v>45852.583333333336</v>
      </c>
      <c r="B80" s="2" t="s">
        <v>15</v>
      </c>
      <c r="C80" s="2" t="s">
        <v>92</v>
      </c>
      <c r="D80" s="2" t="s">
        <v>17</v>
      </c>
      <c r="E80" s="2" t="s">
        <v>18</v>
      </c>
      <c r="F80" s="2" t="s">
        <v>35</v>
      </c>
      <c r="G80" s="2" t="s">
        <v>306</v>
      </c>
      <c r="H80" s="2" t="s">
        <v>307</v>
      </c>
      <c r="I80" s="2" t="s">
        <v>308</v>
      </c>
      <c r="J80" s="2" t="s">
        <v>83</v>
      </c>
      <c r="K80" s="2" t="str">
        <f>_xlfn.XLOOKUP(Data_Tracking___Test_file__1[[#This Row],[City]],'List of Regions'!$A$1:$A$107,'List of Regions'!$B$1:$B$107)</f>
        <v>Kingston</v>
      </c>
      <c r="L80" s="2" t="s">
        <v>309</v>
      </c>
      <c r="M80" s="2" t="s">
        <v>25</v>
      </c>
      <c r="N80">
        <v>26500</v>
      </c>
      <c r="O80" s="1">
        <v>45814</v>
      </c>
      <c r="P80">
        <v>453</v>
      </c>
    </row>
    <row r="81" spans="1:16" hidden="1" x14ac:dyDescent="0.25">
      <c r="A81" s="1">
        <v>45852.5625</v>
      </c>
      <c r="B81" s="2" t="s">
        <v>15</v>
      </c>
      <c r="C81" s="2" t="s">
        <v>92</v>
      </c>
      <c r="D81" s="2" t="s">
        <v>72</v>
      </c>
      <c r="E81" s="2" t="s">
        <v>18</v>
      </c>
      <c r="F81" s="2" t="s">
        <v>19</v>
      </c>
      <c r="G81" s="2" t="s">
        <v>310</v>
      </c>
      <c r="H81" s="2" t="s">
        <v>311</v>
      </c>
      <c r="I81" s="2" t="s">
        <v>312</v>
      </c>
      <c r="J81" s="2" t="s">
        <v>76</v>
      </c>
      <c r="K81" s="2" t="str">
        <f>_xlfn.XLOOKUP(Data_Tracking___Test_file__1[[#This Row],[City]],'List of Regions'!$A$1:$A$107,'List of Regions'!$B$1:$B$107)</f>
        <v>Ottawa</v>
      </c>
      <c r="L81" s="2" t="s">
        <v>313</v>
      </c>
      <c r="M81" s="2" t="s">
        <v>25</v>
      </c>
      <c r="N81">
        <v>26669</v>
      </c>
      <c r="O81" s="1">
        <v>45834</v>
      </c>
      <c r="P81">
        <v>359</v>
      </c>
    </row>
    <row r="82" spans="1:16" hidden="1" x14ac:dyDescent="0.25">
      <c r="A82" s="1">
        <v>45852.5</v>
      </c>
      <c r="B82" s="2" t="s">
        <v>15</v>
      </c>
      <c r="C82" s="2" t="s">
        <v>92</v>
      </c>
      <c r="D82" s="2" t="s">
        <v>17</v>
      </c>
      <c r="E82" s="2" t="s">
        <v>18</v>
      </c>
      <c r="F82" s="2" t="s">
        <v>40</v>
      </c>
      <c r="G82" s="2" t="s">
        <v>306</v>
      </c>
      <c r="H82" s="2" t="s">
        <v>314</v>
      </c>
      <c r="I82" s="2" t="s">
        <v>315</v>
      </c>
      <c r="J82" s="2" t="s">
        <v>83</v>
      </c>
      <c r="K82" s="2" t="str">
        <f>_xlfn.XLOOKUP(Data_Tracking___Test_file__1[[#This Row],[City]],'List of Regions'!$A$1:$A$107,'List of Regions'!$B$1:$B$107)</f>
        <v>Kingston</v>
      </c>
      <c r="L82" s="2" t="s">
        <v>316</v>
      </c>
      <c r="M82" s="2" t="s">
        <v>25</v>
      </c>
      <c r="N82">
        <v>26533</v>
      </c>
      <c r="O82" s="1">
        <v>45818</v>
      </c>
      <c r="P82">
        <v>464</v>
      </c>
    </row>
    <row r="83" spans="1:16" hidden="1" x14ac:dyDescent="0.25">
      <c r="A83" s="1">
        <v>45852.5</v>
      </c>
      <c r="B83" s="2" t="s">
        <v>15</v>
      </c>
      <c r="C83" s="2" t="s">
        <v>92</v>
      </c>
      <c r="D83" s="2" t="s">
        <v>114</v>
      </c>
      <c r="E83" s="2" t="s">
        <v>18</v>
      </c>
      <c r="F83" s="2" t="s">
        <v>26</v>
      </c>
      <c r="G83" s="2" t="s">
        <v>310</v>
      </c>
      <c r="H83" s="2" t="s">
        <v>317</v>
      </c>
      <c r="I83" s="2" t="s">
        <v>318</v>
      </c>
      <c r="J83" s="2" t="s">
        <v>76</v>
      </c>
      <c r="K83" s="2" t="str">
        <f>_xlfn.XLOOKUP(Data_Tracking___Test_file__1[[#This Row],[City]],'List of Regions'!$A$1:$A$107,'List of Regions'!$B$1:$B$107)</f>
        <v>Ottawa</v>
      </c>
      <c r="L83" s="2" t="s">
        <v>319</v>
      </c>
      <c r="M83" s="2" t="s">
        <v>25</v>
      </c>
      <c r="N83">
        <v>26653</v>
      </c>
      <c r="O83" s="1">
        <v>45833</v>
      </c>
      <c r="P83">
        <v>388</v>
      </c>
    </row>
    <row r="84" spans="1:16" hidden="1" x14ac:dyDescent="0.25">
      <c r="A84" s="1">
        <v>45852.416666666664</v>
      </c>
      <c r="B84" s="2" t="s">
        <v>15</v>
      </c>
      <c r="C84" s="2" t="s">
        <v>92</v>
      </c>
      <c r="D84" s="2" t="s">
        <v>17</v>
      </c>
      <c r="E84" s="2" t="s">
        <v>18</v>
      </c>
      <c r="F84" s="2" t="s">
        <v>26</v>
      </c>
      <c r="G84" s="2" t="s">
        <v>310</v>
      </c>
      <c r="H84" s="2" t="s">
        <v>320</v>
      </c>
      <c r="I84" s="2" t="s">
        <v>321</v>
      </c>
      <c r="J84" s="2" t="s">
        <v>76</v>
      </c>
      <c r="K84" s="2" t="str">
        <f>_xlfn.XLOOKUP(Data_Tracking___Test_file__1[[#This Row],[City]],'List of Regions'!$A$1:$A$107,'List of Regions'!$B$1:$B$107)</f>
        <v>Ottawa</v>
      </c>
      <c r="L84" s="2" t="s">
        <v>322</v>
      </c>
      <c r="M84" s="2" t="s">
        <v>25</v>
      </c>
      <c r="N84">
        <v>26613</v>
      </c>
      <c r="O84" s="1">
        <v>45830</v>
      </c>
      <c r="P84">
        <v>419</v>
      </c>
    </row>
    <row r="85" spans="1:16" hidden="1" x14ac:dyDescent="0.25">
      <c r="A85" s="1">
        <v>45852.416666666664</v>
      </c>
      <c r="B85" s="2" t="s">
        <v>15</v>
      </c>
      <c r="C85" s="2" t="s">
        <v>92</v>
      </c>
      <c r="D85" s="2" t="s">
        <v>17</v>
      </c>
      <c r="E85" s="2" t="s">
        <v>18</v>
      </c>
      <c r="F85" s="2" t="s">
        <v>35</v>
      </c>
      <c r="G85" s="2" t="s">
        <v>306</v>
      </c>
      <c r="H85" s="2" t="s">
        <v>323</v>
      </c>
      <c r="I85" s="2" t="s">
        <v>324</v>
      </c>
      <c r="J85" s="2" t="s">
        <v>83</v>
      </c>
      <c r="K85" s="2" t="str">
        <f>_xlfn.XLOOKUP(Data_Tracking___Test_file__1[[#This Row],[City]],'List of Regions'!$A$1:$A$107,'List of Regions'!$B$1:$B$107)</f>
        <v>Kingston</v>
      </c>
      <c r="L85" s="2" t="s">
        <v>325</v>
      </c>
      <c r="M85" s="2" t="s">
        <v>25</v>
      </c>
      <c r="N85">
        <v>26522</v>
      </c>
      <c r="O85" s="1">
        <v>45817</v>
      </c>
      <c r="P85">
        <v>423</v>
      </c>
    </row>
    <row r="86" spans="1:16" hidden="1" x14ac:dyDescent="0.25">
      <c r="A86" s="1">
        <v>45852.333333333336</v>
      </c>
      <c r="B86" s="2" t="s">
        <v>15</v>
      </c>
      <c r="C86" s="2" t="s">
        <v>92</v>
      </c>
      <c r="D86" s="2" t="s">
        <v>17</v>
      </c>
      <c r="E86" s="2" t="s">
        <v>18</v>
      </c>
      <c r="F86" s="2" t="s">
        <v>26</v>
      </c>
      <c r="G86" s="2" t="s">
        <v>306</v>
      </c>
      <c r="H86" s="2" t="s">
        <v>326</v>
      </c>
      <c r="I86" s="2" t="s">
        <v>327</v>
      </c>
      <c r="J86" s="2" t="s">
        <v>83</v>
      </c>
      <c r="K86" s="2" t="str">
        <f>_xlfn.XLOOKUP(Data_Tracking___Test_file__1[[#This Row],[City]],'List of Regions'!$A$1:$A$107,'List of Regions'!$B$1:$B$107)</f>
        <v>Kingston</v>
      </c>
      <c r="L86" s="2" t="s">
        <v>328</v>
      </c>
      <c r="M86" s="2" t="s">
        <v>25</v>
      </c>
      <c r="N86">
        <v>26615</v>
      </c>
      <c r="O86" s="1">
        <v>45830</v>
      </c>
      <c r="P86">
        <v>404</v>
      </c>
    </row>
    <row r="87" spans="1:16" hidden="1" x14ac:dyDescent="0.25">
      <c r="A87" s="1">
        <v>45849.583333333336</v>
      </c>
      <c r="B87" s="2" t="s">
        <v>15</v>
      </c>
      <c r="C87" s="2" t="s">
        <v>136</v>
      </c>
      <c r="D87" s="2" t="s">
        <v>17</v>
      </c>
      <c r="E87" s="2" t="s">
        <v>18</v>
      </c>
      <c r="F87" s="2" t="s">
        <v>35</v>
      </c>
      <c r="G87" s="2" t="s">
        <v>329</v>
      </c>
      <c r="H87" s="2" t="s">
        <v>330</v>
      </c>
      <c r="I87" s="2" t="s">
        <v>331</v>
      </c>
      <c r="J87" s="2" t="s">
        <v>332</v>
      </c>
      <c r="K87" s="2" t="str">
        <f>_xlfn.XLOOKUP(Data_Tracking___Test_file__1[[#This Row],[City]],'List of Regions'!$A$1:$A$107,'List of Regions'!$B$1:$B$107)</f>
        <v>Kingston</v>
      </c>
      <c r="L87" s="2" t="s">
        <v>333</v>
      </c>
      <c r="M87" s="2" t="s">
        <v>25</v>
      </c>
      <c r="N87">
        <v>26619</v>
      </c>
      <c r="O87" s="1">
        <v>45831</v>
      </c>
      <c r="P87">
        <v>443</v>
      </c>
    </row>
    <row r="88" spans="1:16" hidden="1" x14ac:dyDescent="0.25">
      <c r="A88" s="1">
        <v>45849.5</v>
      </c>
      <c r="B88" s="2" t="s">
        <v>15</v>
      </c>
      <c r="C88" s="2" t="s">
        <v>136</v>
      </c>
      <c r="D88" s="2" t="s">
        <v>72</v>
      </c>
      <c r="E88" s="2" t="s">
        <v>18</v>
      </c>
      <c r="F88" s="2" t="s">
        <v>40</v>
      </c>
      <c r="G88" s="2" t="s">
        <v>334</v>
      </c>
      <c r="H88" s="2" t="s">
        <v>335</v>
      </c>
      <c r="I88" s="2" t="s">
        <v>336</v>
      </c>
      <c r="J88" s="2" t="s">
        <v>76</v>
      </c>
      <c r="K88" s="2" t="str">
        <f>_xlfn.XLOOKUP(Data_Tracking___Test_file__1[[#This Row],[City]],'List of Regions'!$A$1:$A$107,'List of Regions'!$B$1:$B$107)</f>
        <v>Ottawa</v>
      </c>
      <c r="L88" s="2" t="s">
        <v>337</v>
      </c>
      <c r="M88" s="2" t="s">
        <v>25</v>
      </c>
      <c r="N88">
        <v>26694</v>
      </c>
      <c r="O88" s="1">
        <v>45840</v>
      </c>
      <c r="P88">
        <v>604</v>
      </c>
    </row>
    <row r="89" spans="1:16" hidden="1" x14ac:dyDescent="0.25">
      <c r="A89" s="1">
        <v>45849.5</v>
      </c>
      <c r="B89" s="2" t="s">
        <v>15</v>
      </c>
      <c r="C89" s="2" t="s">
        <v>136</v>
      </c>
      <c r="D89" s="2" t="s">
        <v>17</v>
      </c>
      <c r="E89" s="2" t="s">
        <v>18</v>
      </c>
      <c r="F89" s="2" t="s">
        <v>35</v>
      </c>
      <c r="G89" s="2" t="s">
        <v>329</v>
      </c>
      <c r="H89" s="2" t="s">
        <v>338</v>
      </c>
      <c r="I89" s="2" t="s">
        <v>339</v>
      </c>
      <c r="J89" s="2" t="s">
        <v>340</v>
      </c>
      <c r="K89" s="2" t="str">
        <f>_xlfn.XLOOKUP(Data_Tracking___Test_file__1[[#This Row],[City]],'List of Regions'!$A$1:$A$107,'List of Regions'!$B$1:$B$107)</f>
        <v>Ottawa</v>
      </c>
      <c r="L89" s="2" t="s">
        <v>341</v>
      </c>
      <c r="M89" s="2" t="s">
        <v>25</v>
      </c>
      <c r="N89">
        <v>26548</v>
      </c>
      <c r="O89" s="1">
        <v>45820</v>
      </c>
      <c r="P89">
        <v>408</v>
      </c>
    </row>
    <row r="90" spans="1:16" hidden="1" x14ac:dyDescent="0.25">
      <c r="A90" s="1">
        <v>45849.458333333336</v>
      </c>
      <c r="B90" s="2" t="s">
        <v>15</v>
      </c>
      <c r="C90" s="2" t="s">
        <v>136</v>
      </c>
      <c r="D90" s="2" t="s">
        <v>39</v>
      </c>
      <c r="E90" s="2" t="s">
        <v>18</v>
      </c>
      <c r="F90" s="2" t="s">
        <v>40</v>
      </c>
      <c r="G90" s="2" t="s">
        <v>334</v>
      </c>
      <c r="H90" s="2" t="s">
        <v>342</v>
      </c>
      <c r="I90" s="2" t="s">
        <v>343</v>
      </c>
      <c r="J90" s="2" t="s">
        <v>76</v>
      </c>
      <c r="K90" s="2" t="str">
        <f>_xlfn.XLOOKUP(Data_Tracking___Test_file__1[[#This Row],[City]],'List of Regions'!$A$1:$A$107,'List of Regions'!$B$1:$B$107)</f>
        <v>Ottawa</v>
      </c>
      <c r="L90" s="2" t="s">
        <v>344</v>
      </c>
      <c r="M90" s="2" t="s">
        <v>25</v>
      </c>
      <c r="N90">
        <v>26726</v>
      </c>
      <c r="O90" s="1">
        <v>45842</v>
      </c>
      <c r="P90">
        <v>259</v>
      </c>
    </row>
    <row r="91" spans="1:16" hidden="1" x14ac:dyDescent="0.25">
      <c r="A91" s="1">
        <v>45849.416666666664</v>
      </c>
      <c r="B91" s="2" t="s">
        <v>15</v>
      </c>
      <c r="C91" s="2" t="s">
        <v>136</v>
      </c>
      <c r="D91" s="2" t="s">
        <v>17</v>
      </c>
      <c r="E91" s="2" t="s">
        <v>18</v>
      </c>
      <c r="F91" s="2" t="s">
        <v>19</v>
      </c>
      <c r="G91" s="2" t="s">
        <v>329</v>
      </c>
      <c r="H91" s="2" t="s">
        <v>345</v>
      </c>
      <c r="I91" s="2" t="s">
        <v>346</v>
      </c>
      <c r="J91" s="2" t="s">
        <v>340</v>
      </c>
      <c r="K91" s="2" t="str">
        <f>_xlfn.XLOOKUP(Data_Tracking___Test_file__1[[#This Row],[City]],'List of Regions'!$A$1:$A$107,'List of Regions'!$B$1:$B$107)</f>
        <v>Ottawa</v>
      </c>
      <c r="L91" s="2" t="s">
        <v>347</v>
      </c>
      <c r="M91" s="2" t="s">
        <v>25</v>
      </c>
      <c r="N91">
        <v>26757</v>
      </c>
      <c r="O91" s="1">
        <v>45848</v>
      </c>
      <c r="P91">
        <v>494</v>
      </c>
    </row>
    <row r="92" spans="1:16" hidden="1" x14ac:dyDescent="0.25">
      <c r="A92" s="1">
        <v>45849.395833333336</v>
      </c>
      <c r="B92" s="2" t="s">
        <v>15</v>
      </c>
      <c r="C92" s="2" t="s">
        <v>136</v>
      </c>
      <c r="D92" s="2" t="s">
        <v>72</v>
      </c>
      <c r="E92" s="2" t="s">
        <v>18</v>
      </c>
      <c r="F92" s="2" t="s">
        <v>35</v>
      </c>
      <c r="G92" s="2" t="s">
        <v>334</v>
      </c>
      <c r="H92" s="2" t="s">
        <v>348</v>
      </c>
      <c r="I92" s="2" t="s">
        <v>349</v>
      </c>
      <c r="J92" s="2" t="s">
        <v>76</v>
      </c>
      <c r="K92" s="2" t="str">
        <f>_xlfn.XLOOKUP(Data_Tracking___Test_file__1[[#This Row],[City]],'List of Regions'!$A$1:$A$107,'List of Regions'!$B$1:$B$107)</f>
        <v>Ottawa</v>
      </c>
      <c r="L92" s="2" t="s">
        <v>350</v>
      </c>
      <c r="M92" s="2" t="s">
        <v>25</v>
      </c>
      <c r="N92">
        <v>26622</v>
      </c>
      <c r="O92" s="1">
        <v>45831</v>
      </c>
      <c r="P92">
        <v>374</v>
      </c>
    </row>
    <row r="93" spans="1:16" hidden="1" x14ac:dyDescent="0.25">
      <c r="A93" s="1">
        <v>45849.333333333336</v>
      </c>
      <c r="B93" s="2" t="s">
        <v>15</v>
      </c>
      <c r="C93" s="2" t="s">
        <v>136</v>
      </c>
      <c r="D93" s="2" t="s">
        <v>114</v>
      </c>
      <c r="E93" s="2" t="s">
        <v>18</v>
      </c>
      <c r="F93" s="2" t="s">
        <v>59</v>
      </c>
      <c r="G93" s="2" t="s">
        <v>334</v>
      </c>
      <c r="H93" s="2" t="s">
        <v>351</v>
      </c>
      <c r="I93" s="2" t="s">
        <v>352</v>
      </c>
      <c r="J93" s="2" t="s">
        <v>76</v>
      </c>
      <c r="K93" s="2" t="str">
        <f>_xlfn.XLOOKUP(Data_Tracking___Test_file__1[[#This Row],[City]],'List of Regions'!$A$1:$A$107,'List of Regions'!$B$1:$B$107)</f>
        <v>Ottawa</v>
      </c>
      <c r="L93" s="2" t="s">
        <v>353</v>
      </c>
      <c r="M93" s="2" t="s">
        <v>25</v>
      </c>
      <c r="N93">
        <v>26748</v>
      </c>
      <c r="O93" s="1">
        <v>45847</v>
      </c>
      <c r="P93">
        <v>603</v>
      </c>
    </row>
    <row r="94" spans="1:16" hidden="1" x14ac:dyDescent="0.25">
      <c r="A94" s="1">
        <v>45849.333333333336</v>
      </c>
      <c r="B94" s="2" t="s">
        <v>15</v>
      </c>
      <c r="C94" s="2" t="s">
        <v>136</v>
      </c>
      <c r="D94" s="2" t="s">
        <v>17</v>
      </c>
      <c r="E94" s="2" t="s">
        <v>18</v>
      </c>
      <c r="F94" s="2" t="s">
        <v>354</v>
      </c>
      <c r="G94" s="2" t="s">
        <v>329</v>
      </c>
      <c r="H94" s="2" t="s">
        <v>355</v>
      </c>
      <c r="I94" s="2" t="s">
        <v>356</v>
      </c>
      <c r="J94" s="2" t="s">
        <v>30</v>
      </c>
      <c r="K94" s="2" t="str">
        <f>_xlfn.XLOOKUP(Data_Tracking___Test_file__1[[#This Row],[City]],'List of Regions'!$A$1:$A$107,'List of Regions'!$B$1:$B$107)</f>
        <v>Kingston</v>
      </c>
      <c r="L94" s="2" t="s">
        <v>357</v>
      </c>
      <c r="M94" s="2" t="s">
        <v>25</v>
      </c>
      <c r="N94">
        <v>26543</v>
      </c>
      <c r="O94" s="1">
        <v>45819</v>
      </c>
      <c r="P94">
        <v>359</v>
      </c>
    </row>
    <row r="95" spans="1:16" hidden="1" x14ac:dyDescent="0.25">
      <c r="A95" s="1">
        <v>45848.604166666664</v>
      </c>
      <c r="B95" s="2" t="s">
        <v>15</v>
      </c>
      <c r="C95" s="2" t="s">
        <v>171</v>
      </c>
      <c r="D95" s="2" t="s">
        <v>72</v>
      </c>
      <c r="E95" s="2" t="s">
        <v>18</v>
      </c>
      <c r="F95" s="2" t="s">
        <v>19</v>
      </c>
      <c r="G95" s="2" t="s">
        <v>145</v>
      </c>
      <c r="H95" s="2" t="s">
        <v>358</v>
      </c>
      <c r="I95" s="2" t="s">
        <v>359</v>
      </c>
      <c r="J95" s="2" t="s">
        <v>76</v>
      </c>
      <c r="K95" s="2" t="str">
        <f>_xlfn.XLOOKUP(Data_Tracking___Test_file__1[[#This Row],[City]],'List of Regions'!$A$1:$A$107,'List of Regions'!$B$1:$B$107)</f>
        <v>Ottawa</v>
      </c>
      <c r="L95" s="2" t="s">
        <v>360</v>
      </c>
      <c r="M95" s="2" t="s">
        <v>25</v>
      </c>
      <c r="N95">
        <v>26591</v>
      </c>
      <c r="O95" s="1">
        <v>45826</v>
      </c>
      <c r="P95">
        <v>464</v>
      </c>
    </row>
    <row r="96" spans="1:16" hidden="1" x14ac:dyDescent="0.25">
      <c r="A96" s="1">
        <v>45848.583333333336</v>
      </c>
      <c r="B96" s="2" t="s">
        <v>15</v>
      </c>
      <c r="C96" s="2" t="s">
        <v>171</v>
      </c>
      <c r="D96" s="2" t="s">
        <v>17</v>
      </c>
      <c r="E96" s="2" t="s">
        <v>18</v>
      </c>
      <c r="F96" s="2" t="s">
        <v>40</v>
      </c>
      <c r="G96" s="2" t="s">
        <v>361</v>
      </c>
      <c r="H96" s="2" t="s">
        <v>362</v>
      </c>
      <c r="I96" s="2" t="s">
        <v>363</v>
      </c>
      <c r="J96" s="2" t="s">
        <v>30</v>
      </c>
      <c r="K96" s="2" t="str">
        <f>_xlfn.XLOOKUP(Data_Tracking___Test_file__1[[#This Row],[City]],'List of Regions'!$A$1:$A$107,'List of Regions'!$B$1:$B$107)</f>
        <v>Kingston</v>
      </c>
      <c r="L96" s="2" t="s">
        <v>364</v>
      </c>
      <c r="M96" s="2" t="s">
        <v>25</v>
      </c>
      <c r="N96">
        <v>26680</v>
      </c>
      <c r="O96" s="1">
        <v>45838</v>
      </c>
      <c r="P96">
        <v>359</v>
      </c>
    </row>
    <row r="97" spans="1:16" hidden="1" x14ac:dyDescent="0.25">
      <c r="A97" s="1">
        <v>45848.5625</v>
      </c>
      <c r="B97" s="2" t="s">
        <v>15</v>
      </c>
      <c r="C97" s="2" t="s">
        <v>171</v>
      </c>
      <c r="D97" s="2" t="s">
        <v>39</v>
      </c>
      <c r="E97" s="2" t="s">
        <v>18</v>
      </c>
      <c r="F97" s="2" t="s">
        <v>26</v>
      </c>
      <c r="G97" s="2" t="s">
        <v>145</v>
      </c>
      <c r="H97" s="2" t="s">
        <v>365</v>
      </c>
      <c r="I97" s="2" t="s">
        <v>366</v>
      </c>
      <c r="J97" s="2" t="s">
        <v>76</v>
      </c>
      <c r="K97" s="2" t="str">
        <f>_xlfn.XLOOKUP(Data_Tracking___Test_file__1[[#This Row],[City]],'List of Regions'!$A$1:$A$107,'List of Regions'!$B$1:$B$107)</f>
        <v>Ottawa</v>
      </c>
      <c r="L97" s="2" t="s">
        <v>367</v>
      </c>
      <c r="M97" s="2" t="s">
        <v>25</v>
      </c>
      <c r="N97">
        <v>26612</v>
      </c>
      <c r="O97" s="1">
        <v>45829</v>
      </c>
      <c r="P97">
        <v>328</v>
      </c>
    </row>
    <row r="98" spans="1:16" x14ac:dyDescent="0.25">
      <c r="A98" s="1">
        <v>45848.5</v>
      </c>
      <c r="B98" s="2" t="s">
        <v>15</v>
      </c>
      <c r="C98" s="2" t="s">
        <v>171</v>
      </c>
      <c r="D98" s="2" t="s">
        <v>17</v>
      </c>
      <c r="E98" s="2" t="s">
        <v>18</v>
      </c>
      <c r="F98" s="2" t="s">
        <v>19</v>
      </c>
      <c r="G98" s="2" t="s">
        <v>361</v>
      </c>
      <c r="H98" s="2" t="s">
        <v>368</v>
      </c>
      <c r="I98" s="2" t="s">
        <v>369</v>
      </c>
      <c r="J98" s="2" t="s">
        <v>370</v>
      </c>
      <c r="K98" s="2" t="str">
        <f>_xlfn.XLOOKUP(Data_Tracking___Test_file__1[[#This Row],[City]],'List of Regions'!$A$1:$A$107,'List of Regions'!$B$1:$B$107)</f>
        <v>Ottawa</v>
      </c>
      <c r="L98" s="2" t="s">
        <v>371</v>
      </c>
      <c r="M98" s="2" t="s">
        <v>25</v>
      </c>
      <c r="N98">
        <v>26635</v>
      </c>
      <c r="O98" s="1">
        <v>45832</v>
      </c>
      <c r="P98">
        <v>389</v>
      </c>
    </row>
    <row r="99" spans="1:16" hidden="1" x14ac:dyDescent="0.25">
      <c r="A99" s="1">
        <v>45848.416666666664</v>
      </c>
      <c r="B99" s="2" t="s">
        <v>15</v>
      </c>
      <c r="C99" s="2" t="s">
        <v>171</v>
      </c>
      <c r="D99" s="2" t="s">
        <v>72</v>
      </c>
      <c r="E99" s="2" t="s">
        <v>18</v>
      </c>
      <c r="F99" s="2" t="s">
        <v>19</v>
      </c>
      <c r="G99" s="2" t="s">
        <v>145</v>
      </c>
      <c r="H99" s="2" t="s">
        <v>372</v>
      </c>
      <c r="I99" s="2" t="s">
        <v>373</v>
      </c>
      <c r="J99" s="2" t="s">
        <v>76</v>
      </c>
      <c r="K99" s="2" t="str">
        <f>_xlfn.XLOOKUP(Data_Tracking___Test_file__1[[#This Row],[City]],'List of Regions'!$A$1:$A$107,'List of Regions'!$B$1:$B$107)</f>
        <v>Ottawa</v>
      </c>
      <c r="L99" s="2" t="s">
        <v>374</v>
      </c>
      <c r="M99" s="2" t="s">
        <v>25</v>
      </c>
      <c r="N99">
        <v>26598</v>
      </c>
      <c r="O99" s="1">
        <v>45827</v>
      </c>
      <c r="P99">
        <v>498</v>
      </c>
    </row>
    <row r="100" spans="1:16" hidden="1" x14ac:dyDescent="0.25">
      <c r="A100" s="1">
        <v>45848.333333333336</v>
      </c>
      <c r="B100" s="2" t="s">
        <v>15</v>
      </c>
      <c r="C100" s="2" t="s">
        <v>171</v>
      </c>
      <c r="D100" s="2" t="s">
        <v>72</v>
      </c>
      <c r="E100" s="2" t="s">
        <v>18</v>
      </c>
      <c r="F100" s="2" t="s">
        <v>19</v>
      </c>
      <c r="G100" s="2" t="s">
        <v>145</v>
      </c>
      <c r="H100" s="2" t="s">
        <v>375</v>
      </c>
      <c r="I100" s="2" t="s">
        <v>376</v>
      </c>
      <c r="J100" s="2" t="s">
        <v>76</v>
      </c>
      <c r="K100" s="2" t="str">
        <f>_xlfn.XLOOKUP(Data_Tracking___Test_file__1[[#This Row],[City]],'List of Regions'!$A$1:$A$107,'List of Regions'!$B$1:$B$107)</f>
        <v>Ottawa</v>
      </c>
      <c r="L100" s="2" t="s">
        <v>377</v>
      </c>
      <c r="M100" s="2" t="s">
        <v>25</v>
      </c>
      <c r="N100">
        <v>26739</v>
      </c>
      <c r="O100" s="1">
        <v>45845</v>
      </c>
      <c r="P100">
        <v>423</v>
      </c>
    </row>
    <row r="101" spans="1:16" x14ac:dyDescent="0.25">
      <c r="A101" s="1">
        <v>45847.583333333336</v>
      </c>
      <c r="B101" s="2" t="s">
        <v>15</v>
      </c>
      <c r="C101" s="2" t="s">
        <v>16</v>
      </c>
      <c r="D101" s="2" t="s">
        <v>17</v>
      </c>
      <c r="E101" s="2" t="s">
        <v>18</v>
      </c>
      <c r="F101" s="2" t="s">
        <v>35</v>
      </c>
      <c r="G101" s="2" t="s">
        <v>361</v>
      </c>
      <c r="H101" s="2" t="s">
        <v>378</v>
      </c>
      <c r="I101" s="2" t="s">
        <v>379</v>
      </c>
      <c r="J101" s="2" t="s">
        <v>380</v>
      </c>
      <c r="K101" s="2" t="str">
        <f>_xlfn.XLOOKUP(Data_Tracking___Test_file__1[[#This Row],[City]],'List of Regions'!$A$1:$A$107,'List of Regions'!$B$1:$B$107)</f>
        <v>Ottawa</v>
      </c>
      <c r="L101" s="2" t="s">
        <v>381</v>
      </c>
      <c r="M101" s="2" t="s">
        <v>25</v>
      </c>
      <c r="N101">
        <v>26573</v>
      </c>
      <c r="O101" s="1">
        <v>45825</v>
      </c>
      <c r="P101">
        <v>428</v>
      </c>
    </row>
    <row r="102" spans="1:16" x14ac:dyDescent="0.25">
      <c r="A102" s="1">
        <v>45847.5</v>
      </c>
      <c r="B102" s="2" t="s">
        <v>15</v>
      </c>
      <c r="C102" s="2" t="s">
        <v>16</v>
      </c>
      <c r="D102" s="2" t="s">
        <v>17</v>
      </c>
      <c r="E102" s="2" t="s">
        <v>18</v>
      </c>
      <c r="F102" s="2" t="s">
        <v>26</v>
      </c>
      <c r="G102" s="2" t="s">
        <v>361</v>
      </c>
      <c r="H102" s="2" t="s">
        <v>595</v>
      </c>
      <c r="I102" s="2" t="s">
        <v>596</v>
      </c>
      <c r="J102" s="2" t="s">
        <v>382</v>
      </c>
      <c r="K102" s="2" t="str">
        <f>_xlfn.XLOOKUP(Data_Tracking___Test_file__1[[#This Row],[City]],'List of Regions'!$A$1:$A$107,'List of Regions'!$B$1:$B$107)</f>
        <v>Ottawa</v>
      </c>
      <c r="L102" s="2" t="s">
        <v>383</v>
      </c>
      <c r="M102" s="2" t="s">
        <v>25</v>
      </c>
      <c r="N102">
        <v>26580</v>
      </c>
      <c r="O102" s="1">
        <v>45825</v>
      </c>
      <c r="P102">
        <v>548</v>
      </c>
    </row>
    <row r="103" spans="1:16" hidden="1" x14ac:dyDescent="0.25">
      <c r="A103" s="1">
        <v>45847.354166666664</v>
      </c>
      <c r="B103" s="2" t="s">
        <v>15</v>
      </c>
      <c r="C103" s="2" t="s">
        <v>16</v>
      </c>
      <c r="D103" s="2" t="s">
        <v>39</v>
      </c>
      <c r="E103" s="2" t="s">
        <v>18</v>
      </c>
      <c r="F103" s="2" t="s">
        <v>19</v>
      </c>
      <c r="G103" s="2" t="s">
        <v>182</v>
      </c>
      <c r="H103" s="2" t="s">
        <v>384</v>
      </c>
      <c r="I103" s="2" t="s">
        <v>385</v>
      </c>
      <c r="J103" s="2" t="s">
        <v>76</v>
      </c>
      <c r="K103" s="2" t="str">
        <f>_xlfn.XLOOKUP(Data_Tracking___Test_file__1[[#This Row],[City]],'List of Regions'!$A$1:$A$107,'List of Regions'!$B$1:$B$107)</f>
        <v>Ottawa</v>
      </c>
      <c r="L103" s="2" t="s">
        <v>386</v>
      </c>
      <c r="M103" s="2" t="s">
        <v>25</v>
      </c>
      <c r="N103">
        <v>26559</v>
      </c>
      <c r="O103" s="1">
        <v>45821</v>
      </c>
      <c r="P103">
        <v>199</v>
      </c>
    </row>
    <row r="104" spans="1:16" x14ac:dyDescent="0.25">
      <c r="A104" s="1">
        <v>45847.333333333336</v>
      </c>
      <c r="B104" s="2" t="s">
        <v>15</v>
      </c>
      <c r="C104" s="2" t="s">
        <v>16</v>
      </c>
      <c r="D104" s="2" t="s">
        <v>247</v>
      </c>
      <c r="E104" s="2" t="s">
        <v>18</v>
      </c>
      <c r="F104" s="2" t="s">
        <v>118</v>
      </c>
      <c r="G104" s="2" t="s">
        <v>361</v>
      </c>
      <c r="H104" s="2" t="s">
        <v>387</v>
      </c>
      <c r="I104" s="2" t="s">
        <v>388</v>
      </c>
      <c r="J104" s="2" t="s">
        <v>389</v>
      </c>
      <c r="K104" s="2" t="str">
        <f>_xlfn.XLOOKUP(Data_Tracking___Test_file__1[[#This Row],[City]],'List of Regions'!$A$1:$A$107,'List of Regions'!$B$1:$B$107)</f>
        <v>Ottawa</v>
      </c>
      <c r="L104" s="2" t="s">
        <v>390</v>
      </c>
      <c r="M104" s="2" t="s">
        <v>25</v>
      </c>
      <c r="N104">
        <v>26587</v>
      </c>
      <c r="O104" s="1">
        <v>45826</v>
      </c>
      <c r="P104">
        <v>1399</v>
      </c>
    </row>
    <row r="105" spans="1:16" hidden="1" x14ac:dyDescent="0.25">
      <c r="A105" s="1">
        <v>45846.583333333336</v>
      </c>
      <c r="B105" s="2" t="s">
        <v>15</v>
      </c>
      <c r="C105" s="2" t="s">
        <v>58</v>
      </c>
      <c r="D105" s="2" t="s">
        <v>17</v>
      </c>
      <c r="E105" s="2" t="s">
        <v>18</v>
      </c>
      <c r="F105" s="2" t="s">
        <v>19</v>
      </c>
      <c r="G105" s="2" t="s">
        <v>361</v>
      </c>
      <c r="H105" s="2" t="s">
        <v>391</v>
      </c>
      <c r="I105" s="2" t="s">
        <v>392</v>
      </c>
      <c r="J105" s="2" t="s">
        <v>30</v>
      </c>
      <c r="K105" s="2" t="str">
        <f>_xlfn.XLOOKUP(Data_Tracking___Test_file__1[[#This Row],[City]],'List of Regions'!$A$1:$A$107,'List of Regions'!$B$1:$B$107)</f>
        <v>Kingston</v>
      </c>
      <c r="L105" s="2" t="s">
        <v>393</v>
      </c>
      <c r="M105" s="2" t="s">
        <v>25</v>
      </c>
      <c r="N105">
        <v>26624</v>
      </c>
      <c r="O105" s="1">
        <v>45831</v>
      </c>
      <c r="P105">
        <v>299</v>
      </c>
    </row>
    <row r="106" spans="1:16" x14ac:dyDescent="0.25">
      <c r="A106" s="1">
        <v>45846.5</v>
      </c>
      <c r="B106" s="2" t="s">
        <v>15</v>
      </c>
      <c r="C106" s="2" t="s">
        <v>58</v>
      </c>
      <c r="D106" s="2" t="s">
        <v>17</v>
      </c>
      <c r="E106" s="2" t="s">
        <v>18</v>
      </c>
      <c r="F106" s="2" t="s">
        <v>40</v>
      </c>
      <c r="G106" s="2" t="s">
        <v>361</v>
      </c>
      <c r="H106" s="2" t="s">
        <v>394</v>
      </c>
      <c r="I106" s="2" t="s">
        <v>395</v>
      </c>
      <c r="J106" s="2" t="s">
        <v>203</v>
      </c>
      <c r="K106" s="2" t="str">
        <f>_xlfn.XLOOKUP(Data_Tracking___Test_file__1[[#This Row],[City]],'List of Regions'!$A$1:$A$107,'List of Regions'!$B$1:$B$107)</f>
        <v>Kingston</v>
      </c>
      <c r="L106" s="2" t="s">
        <v>396</v>
      </c>
      <c r="M106" s="2" t="s">
        <v>25</v>
      </c>
      <c r="N106">
        <v>26579</v>
      </c>
      <c r="O106" s="1">
        <v>45825</v>
      </c>
      <c r="P106">
        <v>359</v>
      </c>
    </row>
    <row r="107" spans="1:16" hidden="1" x14ac:dyDescent="0.25">
      <c r="A107" s="1">
        <v>45846.416666666664</v>
      </c>
      <c r="B107" s="2" t="s">
        <v>15</v>
      </c>
      <c r="C107" s="2" t="s">
        <v>58</v>
      </c>
      <c r="D107" s="2" t="s">
        <v>17</v>
      </c>
      <c r="E107" s="2" t="s">
        <v>18</v>
      </c>
      <c r="F107" s="2" t="s">
        <v>397</v>
      </c>
      <c r="G107" s="2" t="s">
        <v>361</v>
      </c>
      <c r="H107" s="2" t="s">
        <v>398</v>
      </c>
      <c r="I107" s="2" t="s">
        <v>399</v>
      </c>
      <c r="J107" s="2" t="s">
        <v>23</v>
      </c>
      <c r="K107" s="2" t="str">
        <f>_xlfn.XLOOKUP(Data_Tracking___Test_file__1[[#This Row],[City]],'List of Regions'!$A$1:$A$107,'List of Regions'!$B$1:$B$107)</f>
        <v>Kingston</v>
      </c>
      <c r="L107" s="2" t="s">
        <v>400</v>
      </c>
      <c r="M107" s="2" t="s">
        <v>25</v>
      </c>
      <c r="N107">
        <v>26695</v>
      </c>
      <c r="O107" s="1">
        <v>45840</v>
      </c>
      <c r="P107">
        <v>642</v>
      </c>
    </row>
    <row r="108" spans="1:16" x14ac:dyDescent="0.25">
      <c r="A108" s="1">
        <v>45846.333333333336</v>
      </c>
      <c r="B108" s="2" t="s">
        <v>15</v>
      </c>
      <c r="C108" s="2" t="s">
        <v>58</v>
      </c>
      <c r="D108" s="2" t="s">
        <v>17</v>
      </c>
      <c r="E108" s="2" t="s">
        <v>18</v>
      </c>
      <c r="F108" s="2" t="s">
        <v>354</v>
      </c>
      <c r="G108" s="2" t="s">
        <v>361</v>
      </c>
      <c r="H108" s="2" t="s">
        <v>401</v>
      </c>
      <c r="I108" s="2" t="s">
        <v>402</v>
      </c>
      <c r="J108" s="2" t="s">
        <v>403</v>
      </c>
      <c r="K108" s="2" t="str">
        <f>_xlfn.XLOOKUP(Data_Tracking___Test_file__1[[#This Row],[City]],'List of Regions'!$A$1:$A$107,'List of Regions'!$B$1:$B$107)</f>
        <v>Kingston</v>
      </c>
      <c r="L108" s="2" t="s">
        <v>404</v>
      </c>
      <c r="M108" s="2" t="s">
        <v>25</v>
      </c>
      <c r="N108">
        <v>26732</v>
      </c>
      <c r="O108" s="1">
        <v>45845</v>
      </c>
      <c r="P108">
        <v>469</v>
      </c>
    </row>
    <row r="109" spans="1:16" hidden="1" x14ac:dyDescent="0.25">
      <c r="A109" s="1">
        <v>45845.5</v>
      </c>
      <c r="B109" s="2" t="s">
        <v>15</v>
      </c>
      <c r="C109" s="2" t="s">
        <v>92</v>
      </c>
      <c r="D109" s="2" t="s">
        <v>114</v>
      </c>
      <c r="E109" s="2" t="s">
        <v>18</v>
      </c>
      <c r="F109" s="2" t="s">
        <v>26</v>
      </c>
      <c r="G109" s="2" t="s">
        <v>405</v>
      </c>
      <c r="H109" s="2" t="s">
        <v>406</v>
      </c>
      <c r="I109" s="2" t="s">
        <v>407</v>
      </c>
      <c r="J109" s="2" t="s">
        <v>83</v>
      </c>
      <c r="K109" s="2" t="str">
        <f>_xlfn.XLOOKUP(Data_Tracking___Test_file__1[[#This Row],[City]],'List of Regions'!$A$1:$A$107,'List of Regions'!$B$1:$B$107)</f>
        <v>Kingston</v>
      </c>
      <c r="L109" s="2" t="s">
        <v>408</v>
      </c>
      <c r="M109" s="2" t="s">
        <v>25</v>
      </c>
      <c r="N109">
        <v>26570</v>
      </c>
      <c r="O109" s="1">
        <v>45824</v>
      </c>
      <c r="P109">
        <v>413</v>
      </c>
    </row>
    <row r="110" spans="1:16" hidden="1" x14ac:dyDescent="0.25">
      <c r="A110" s="1">
        <v>45845.416666666664</v>
      </c>
      <c r="B110" s="2" t="s">
        <v>15</v>
      </c>
      <c r="C110" s="2" t="s">
        <v>92</v>
      </c>
      <c r="D110" s="2" t="s">
        <v>409</v>
      </c>
      <c r="E110" s="2" t="s">
        <v>18</v>
      </c>
      <c r="F110" s="2" t="s">
        <v>26</v>
      </c>
      <c r="G110" s="2" t="s">
        <v>405</v>
      </c>
      <c r="H110" s="2" t="s">
        <v>410</v>
      </c>
      <c r="I110" s="2" t="s">
        <v>411</v>
      </c>
      <c r="J110" s="2" t="s">
        <v>83</v>
      </c>
      <c r="K110" s="2" t="str">
        <f>_xlfn.XLOOKUP(Data_Tracking___Test_file__1[[#This Row],[City]],'List of Regions'!$A$1:$A$107,'List of Regions'!$B$1:$B$107)</f>
        <v>Kingston</v>
      </c>
      <c r="L110" s="2" t="s">
        <v>412</v>
      </c>
      <c r="M110" s="2" t="s">
        <v>25</v>
      </c>
      <c r="N110">
        <v>26576</v>
      </c>
      <c r="O110" s="1">
        <v>45825</v>
      </c>
      <c r="P110">
        <v>299</v>
      </c>
    </row>
    <row r="111" spans="1:16" hidden="1" x14ac:dyDescent="0.25">
      <c r="A111" s="1">
        <v>45845.333333333336</v>
      </c>
      <c r="B111" s="2" t="s">
        <v>15</v>
      </c>
      <c r="C111" s="2" t="s">
        <v>92</v>
      </c>
      <c r="D111" s="2" t="s">
        <v>123</v>
      </c>
      <c r="E111" s="2" t="s">
        <v>18</v>
      </c>
      <c r="F111" s="2" t="s">
        <v>118</v>
      </c>
      <c r="G111" s="2" t="s">
        <v>405</v>
      </c>
      <c r="H111" s="2" t="s">
        <v>413</v>
      </c>
      <c r="I111" s="2" t="s">
        <v>414</v>
      </c>
      <c r="J111" s="2" t="s">
        <v>83</v>
      </c>
      <c r="K111" s="2" t="str">
        <f>_xlfn.XLOOKUP(Data_Tracking___Test_file__1[[#This Row],[City]],'List of Regions'!$A$1:$A$107,'List of Regions'!$B$1:$B$107)</f>
        <v>Kingston</v>
      </c>
      <c r="L111" s="2" t="s">
        <v>415</v>
      </c>
      <c r="M111" s="2" t="s">
        <v>25</v>
      </c>
      <c r="N111">
        <v>26581</v>
      </c>
      <c r="O111" s="1">
        <v>45825</v>
      </c>
      <c r="P111">
        <v>398</v>
      </c>
    </row>
    <row r="112" spans="1:16" hidden="1" x14ac:dyDescent="0.25">
      <c r="A112" s="1">
        <v>45842.583333333336</v>
      </c>
      <c r="B112" s="2" t="s">
        <v>15</v>
      </c>
      <c r="C112" s="2" t="s">
        <v>136</v>
      </c>
      <c r="D112" s="2" t="s">
        <v>72</v>
      </c>
      <c r="E112" s="2" t="s">
        <v>18</v>
      </c>
      <c r="F112" s="2" t="s">
        <v>40</v>
      </c>
      <c r="G112" s="2" t="s">
        <v>182</v>
      </c>
      <c r="H112" s="2" t="s">
        <v>416</v>
      </c>
      <c r="I112" s="2" t="s">
        <v>417</v>
      </c>
      <c r="J112" s="2" t="s">
        <v>76</v>
      </c>
      <c r="K112" s="2" t="str">
        <f>_xlfn.XLOOKUP(Data_Tracking___Test_file__1[[#This Row],[City]],'List of Regions'!$A$1:$A$107,'List of Regions'!$B$1:$B$107)</f>
        <v>Ottawa</v>
      </c>
      <c r="L112" s="2" t="s">
        <v>418</v>
      </c>
      <c r="M112" s="2" t="s">
        <v>25</v>
      </c>
      <c r="N112">
        <v>26688</v>
      </c>
      <c r="O112" s="1">
        <v>45839</v>
      </c>
      <c r="P112">
        <v>698</v>
      </c>
    </row>
    <row r="113" spans="1:16" hidden="1" x14ac:dyDescent="0.25">
      <c r="A113" s="1">
        <v>45842.583333333336</v>
      </c>
      <c r="B113" s="2" t="s">
        <v>15</v>
      </c>
      <c r="C113" s="2" t="s">
        <v>136</v>
      </c>
      <c r="D113" s="2" t="s">
        <v>72</v>
      </c>
      <c r="E113" s="2" t="s">
        <v>18</v>
      </c>
      <c r="F113" s="2" t="s">
        <v>19</v>
      </c>
      <c r="G113" s="2" t="s">
        <v>145</v>
      </c>
      <c r="H113" s="2" t="s">
        <v>419</v>
      </c>
      <c r="I113" s="2" t="s">
        <v>420</v>
      </c>
      <c r="J113" s="2" t="s">
        <v>421</v>
      </c>
      <c r="K113" s="2" t="str">
        <f>_xlfn.XLOOKUP(Data_Tracking___Test_file__1[[#This Row],[City]],'List of Regions'!$A$1:$A$107,'List of Regions'!$B$1:$B$107)</f>
        <v>Ottawa</v>
      </c>
      <c r="L113" s="2" t="s">
        <v>422</v>
      </c>
      <c r="M113" s="2" t="s">
        <v>25</v>
      </c>
      <c r="N113">
        <v>26603</v>
      </c>
      <c r="O113" s="1">
        <v>45827</v>
      </c>
      <c r="P113">
        <v>568</v>
      </c>
    </row>
    <row r="114" spans="1:16" hidden="1" x14ac:dyDescent="0.25">
      <c r="A114" s="1">
        <v>45842.5</v>
      </c>
      <c r="B114" s="2" t="s">
        <v>15</v>
      </c>
      <c r="C114" s="2" t="s">
        <v>136</v>
      </c>
      <c r="D114" s="2" t="s">
        <v>17</v>
      </c>
      <c r="E114" s="2" t="s">
        <v>18</v>
      </c>
      <c r="F114" s="2" t="s">
        <v>26</v>
      </c>
      <c r="G114" s="2" t="s">
        <v>423</v>
      </c>
      <c r="H114" s="2" t="s">
        <v>424</v>
      </c>
      <c r="I114" s="2" t="s">
        <v>425</v>
      </c>
      <c r="J114" s="2" t="s">
        <v>23</v>
      </c>
      <c r="K114" s="2" t="str">
        <f>_xlfn.XLOOKUP(Data_Tracking___Test_file__1[[#This Row],[City]],'List of Regions'!$A$1:$A$107,'List of Regions'!$B$1:$B$107)</f>
        <v>Kingston</v>
      </c>
      <c r="L114" s="2" t="s">
        <v>426</v>
      </c>
      <c r="M114" s="2" t="s">
        <v>25</v>
      </c>
      <c r="N114">
        <v>26323</v>
      </c>
      <c r="O114" s="1">
        <v>45796</v>
      </c>
      <c r="P114">
        <v>606</v>
      </c>
    </row>
    <row r="115" spans="1:16" hidden="1" x14ac:dyDescent="0.25">
      <c r="A115" s="1">
        <v>45842.5</v>
      </c>
      <c r="B115" s="2" t="s">
        <v>15</v>
      </c>
      <c r="C115" s="2" t="s">
        <v>136</v>
      </c>
      <c r="D115" s="2" t="s">
        <v>72</v>
      </c>
      <c r="E115" s="2" t="s">
        <v>18</v>
      </c>
      <c r="F115" s="2" t="s">
        <v>40</v>
      </c>
      <c r="G115" s="2" t="s">
        <v>145</v>
      </c>
      <c r="H115" s="2" t="s">
        <v>427</v>
      </c>
      <c r="I115" s="2" t="s">
        <v>428</v>
      </c>
      <c r="J115" s="2" t="s">
        <v>76</v>
      </c>
      <c r="K115" s="2" t="str">
        <f>_xlfn.XLOOKUP(Data_Tracking___Test_file__1[[#This Row],[City]],'List of Regions'!$A$1:$A$107,'List of Regions'!$B$1:$B$107)</f>
        <v>Ottawa</v>
      </c>
      <c r="L115" s="2" t="s">
        <v>429</v>
      </c>
      <c r="M115" s="2" t="s">
        <v>25</v>
      </c>
      <c r="N115">
        <v>26585</v>
      </c>
      <c r="O115" s="1">
        <v>45826</v>
      </c>
      <c r="P115">
        <v>474</v>
      </c>
    </row>
    <row r="116" spans="1:16" hidden="1" x14ac:dyDescent="0.25">
      <c r="A116" s="1">
        <v>45842.416666666664</v>
      </c>
      <c r="B116" s="2" t="s">
        <v>15</v>
      </c>
      <c r="C116" s="2" t="s">
        <v>136</v>
      </c>
      <c r="D116" s="2" t="s">
        <v>17</v>
      </c>
      <c r="E116" s="2" t="s">
        <v>18</v>
      </c>
      <c r="F116" s="2" t="s">
        <v>26</v>
      </c>
      <c r="G116" s="2" t="s">
        <v>423</v>
      </c>
      <c r="H116" s="2" t="s">
        <v>430</v>
      </c>
      <c r="I116" s="2" t="s">
        <v>431</v>
      </c>
      <c r="J116" s="2" t="s">
        <v>340</v>
      </c>
      <c r="K116" s="2" t="str">
        <f>_xlfn.XLOOKUP(Data_Tracking___Test_file__1[[#This Row],[City]],'List of Regions'!$A$1:$A$107,'List of Regions'!$B$1:$B$107)</f>
        <v>Ottawa</v>
      </c>
      <c r="L116" s="2" t="s">
        <v>432</v>
      </c>
      <c r="M116" s="2" t="s">
        <v>25</v>
      </c>
      <c r="N116">
        <v>26567</v>
      </c>
      <c r="O116" s="1">
        <v>45824</v>
      </c>
      <c r="P116">
        <v>582</v>
      </c>
    </row>
    <row r="117" spans="1:16" hidden="1" x14ac:dyDescent="0.25">
      <c r="A117" s="1">
        <v>45842.416666666664</v>
      </c>
      <c r="B117" s="2" t="s">
        <v>15</v>
      </c>
      <c r="C117" s="2" t="s">
        <v>136</v>
      </c>
      <c r="D117" s="2" t="s">
        <v>17</v>
      </c>
      <c r="E117" s="2" t="s">
        <v>18</v>
      </c>
      <c r="F117" s="2" t="s">
        <v>40</v>
      </c>
      <c r="G117" s="2" t="s">
        <v>145</v>
      </c>
      <c r="H117" s="2" t="s">
        <v>433</v>
      </c>
      <c r="I117" s="2" t="s">
        <v>434</v>
      </c>
      <c r="J117" s="2" t="s">
        <v>76</v>
      </c>
      <c r="K117" s="2" t="str">
        <f>_xlfn.XLOOKUP(Data_Tracking___Test_file__1[[#This Row],[City]],'List of Regions'!$A$1:$A$107,'List of Regions'!$B$1:$B$107)</f>
        <v>Ottawa</v>
      </c>
      <c r="L117" s="2" t="s">
        <v>435</v>
      </c>
      <c r="M117" s="2" t="s">
        <v>25</v>
      </c>
      <c r="N117">
        <v>26498</v>
      </c>
      <c r="O117" s="1">
        <v>45814</v>
      </c>
      <c r="P117">
        <v>494</v>
      </c>
    </row>
    <row r="118" spans="1:16" hidden="1" x14ac:dyDescent="0.25">
      <c r="A118" s="1">
        <v>45842.416666666664</v>
      </c>
      <c r="B118" s="2" t="s">
        <v>15</v>
      </c>
      <c r="C118" s="2" t="s">
        <v>136</v>
      </c>
      <c r="D118" s="2" t="s">
        <v>17</v>
      </c>
      <c r="E118" s="2" t="s">
        <v>18</v>
      </c>
      <c r="F118" s="2" t="s">
        <v>19</v>
      </c>
      <c r="G118" s="2" t="s">
        <v>436</v>
      </c>
      <c r="H118" s="2" t="s">
        <v>437</v>
      </c>
      <c r="I118" s="2" t="s">
        <v>438</v>
      </c>
      <c r="J118" s="2" t="s">
        <v>83</v>
      </c>
      <c r="K118" s="2" t="str">
        <f>_xlfn.XLOOKUP(Data_Tracking___Test_file__1[[#This Row],[City]],'List of Regions'!$A$1:$A$107,'List of Regions'!$B$1:$B$107)</f>
        <v>Kingston</v>
      </c>
      <c r="L118" s="2" t="s">
        <v>439</v>
      </c>
      <c r="M118" s="2" t="s">
        <v>25</v>
      </c>
      <c r="N118">
        <v>26308</v>
      </c>
      <c r="O118" s="1">
        <v>45792</v>
      </c>
      <c r="P118">
        <v>569</v>
      </c>
    </row>
    <row r="119" spans="1:16" hidden="1" x14ac:dyDescent="0.25">
      <c r="A119" s="1">
        <v>45842.375</v>
      </c>
      <c r="B119" s="2" t="s">
        <v>15</v>
      </c>
      <c r="C119" s="2" t="s">
        <v>136</v>
      </c>
      <c r="D119" s="2" t="s">
        <v>17</v>
      </c>
      <c r="E119" s="2" t="s">
        <v>18</v>
      </c>
      <c r="F119" s="2" t="s">
        <v>19</v>
      </c>
      <c r="G119" s="2" t="s">
        <v>436</v>
      </c>
      <c r="H119" s="2" t="s">
        <v>440</v>
      </c>
      <c r="I119" s="2" t="s">
        <v>441</v>
      </c>
      <c r="J119" s="2" t="s">
        <v>83</v>
      </c>
      <c r="K119" s="2" t="str">
        <f>_xlfn.XLOOKUP(Data_Tracking___Test_file__1[[#This Row],[City]],'List of Regions'!$A$1:$A$107,'List of Regions'!$B$1:$B$107)</f>
        <v>Kingston</v>
      </c>
      <c r="L119" s="2" t="s">
        <v>442</v>
      </c>
      <c r="M119" s="2" t="s">
        <v>25</v>
      </c>
      <c r="N119">
        <v>26538</v>
      </c>
      <c r="O119" s="1">
        <v>45818</v>
      </c>
      <c r="P119">
        <v>509</v>
      </c>
    </row>
    <row r="120" spans="1:16" hidden="1" x14ac:dyDescent="0.25">
      <c r="A120" s="1">
        <v>45842.375</v>
      </c>
      <c r="B120" s="2" t="s">
        <v>15</v>
      </c>
      <c r="C120" s="2" t="s">
        <v>136</v>
      </c>
      <c r="D120" s="2" t="s">
        <v>17</v>
      </c>
      <c r="E120" s="2" t="s">
        <v>18</v>
      </c>
      <c r="F120" s="2" t="s">
        <v>40</v>
      </c>
      <c r="G120" s="2" t="s">
        <v>145</v>
      </c>
      <c r="H120" s="2" t="s">
        <v>443</v>
      </c>
      <c r="I120" s="2" t="s">
        <v>444</v>
      </c>
      <c r="J120" s="2" t="s">
        <v>76</v>
      </c>
      <c r="K120" s="2" t="str">
        <f>_xlfn.XLOOKUP(Data_Tracking___Test_file__1[[#This Row],[City]],'List of Regions'!$A$1:$A$107,'List of Regions'!$B$1:$B$107)</f>
        <v>Ottawa</v>
      </c>
      <c r="L120" s="2" t="s">
        <v>445</v>
      </c>
      <c r="M120" s="2" t="s">
        <v>25</v>
      </c>
      <c r="N120">
        <v>26583</v>
      </c>
      <c r="O120" s="1">
        <v>45825</v>
      </c>
      <c r="P120">
        <v>654</v>
      </c>
    </row>
    <row r="121" spans="1:16" x14ac:dyDescent="0.25">
      <c r="A121" s="1">
        <v>45842.333333333336</v>
      </c>
      <c r="B121" s="2" t="s">
        <v>15</v>
      </c>
      <c r="C121" s="2" t="s">
        <v>136</v>
      </c>
      <c r="D121" s="2" t="s">
        <v>17</v>
      </c>
      <c r="E121" s="2" t="s">
        <v>18</v>
      </c>
      <c r="F121" s="2" t="s">
        <v>35</v>
      </c>
      <c r="G121" s="2" t="s">
        <v>423</v>
      </c>
      <c r="H121" s="2" t="s">
        <v>446</v>
      </c>
      <c r="I121" s="2" t="s">
        <v>447</v>
      </c>
      <c r="J121" s="2" t="s">
        <v>448</v>
      </c>
      <c r="K121" s="2" t="str">
        <f>_xlfn.XLOOKUP(Data_Tracking___Test_file__1[[#This Row],[City]],'List of Regions'!$A$1:$A$107,'List of Regions'!$B$1:$B$107)</f>
        <v>Ottawa</v>
      </c>
      <c r="L121" s="2" t="s">
        <v>449</v>
      </c>
      <c r="M121" s="2" t="s">
        <v>25</v>
      </c>
      <c r="N121">
        <v>26593</v>
      </c>
      <c r="O121" s="1">
        <v>45826</v>
      </c>
      <c r="P121">
        <v>473</v>
      </c>
    </row>
    <row r="122" spans="1:16" hidden="1" x14ac:dyDescent="0.25">
      <c r="A122" s="1">
        <v>45842.333333333336</v>
      </c>
      <c r="B122" s="2" t="s">
        <v>15</v>
      </c>
      <c r="C122" s="2" t="s">
        <v>136</v>
      </c>
      <c r="D122" s="2" t="s">
        <v>450</v>
      </c>
      <c r="E122" s="2" t="s">
        <v>18</v>
      </c>
      <c r="F122" s="2" t="s">
        <v>118</v>
      </c>
      <c r="G122" s="2" t="s">
        <v>145</v>
      </c>
      <c r="H122" s="2" t="s">
        <v>451</v>
      </c>
      <c r="I122" s="2" t="s">
        <v>452</v>
      </c>
      <c r="J122" s="2" t="s">
        <v>76</v>
      </c>
      <c r="K122" s="2" t="str">
        <f>_xlfn.XLOOKUP(Data_Tracking___Test_file__1[[#This Row],[City]],'List of Regions'!$A$1:$A$107,'List of Regions'!$B$1:$B$107)</f>
        <v>Ottawa</v>
      </c>
      <c r="L122" s="2" t="s">
        <v>453</v>
      </c>
      <c r="M122" s="2" t="s">
        <v>454</v>
      </c>
      <c r="N122">
        <v>26699</v>
      </c>
      <c r="O122" s="1">
        <v>45841</v>
      </c>
      <c r="P122">
        <v>1349</v>
      </c>
    </row>
    <row r="123" spans="1:16" hidden="1" x14ac:dyDescent="0.25">
      <c r="A123" s="1">
        <v>45841.583333333336</v>
      </c>
      <c r="B123" s="2" t="s">
        <v>15</v>
      </c>
      <c r="C123" s="2" t="s">
        <v>171</v>
      </c>
      <c r="D123" s="2" t="s">
        <v>123</v>
      </c>
      <c r="E123" s="2" t="s">
        <v>18</v>
      </c>
      <c r="F123" s="2" t="s">
        <v>118</v>
      </c>
      <c r="G123" s="2" t="s">
        <v>182</v>
      </c>
      <c r="H123" s="2" t="s">
        <v>455</v>
      </c>
      <c r="I123" s="2" t="s">
        <v>456</v>
      </c>
      <c r="J123" s="2" t="s">
        <v>76</v>
      </c>
      <c r="K123" s="2" t="str">
        <f>_xlfn.XLOOKUP(Data_Tracking___Test_file__1[[#This Row],[City]],'List of Regions'!$A$1:$A$107,'List of Regions'!$B$1:$B$107)</f>
        <v>Ottawa</v>
      </c>
      <c r="L123" s="2" t="s">
        <v>457</v>
      </c>
      <c r="M123" s="2" t="s">
        <v>25</v>
      </c>
      <c r="N123">
        <v>26575</v>
      </c>
      <c r="O123" s="1">
        <v>45825</v>
      </c>
      <c r="P123">
        <v>498</v>
      </c>
    </row>
    <row r="124" spans="1:16" hidden="1" x14ac:dyDescent="0.25">
      <c r="A124" s="1">
        <v>45841.5</v>
      </c>
      <c r="B124" s="2" t="s">
        <v>15</v>
      </c>
      <c r="C124" s="2" t="s">
        <v>171</v>
      </c>
      <c r="D124" s="2" t="s">
        <v>72</v>
      </c>
      <c r="E124" s="2" t="s">
        <v>18</v>
      </c>
      <c r="F124" s="2" t="s">
        <v>40</v>
      </c>
      <c r="G124" s="2" t="s">
        <v>458</v>
      </c>
      <c r="H124" s="2" t="s">
        <v>459</v>
      </c>
      <c r="I124" s="2" t="s">
        <v>460</v>
      </c>
      <c r="J124" s="2" t="s">
        <v>76</v>
      </c>
      <c r="K124" s="2" t="str">
        <f>_xlfn.XLOOKUP(Data_Tracking___Test_file__1[[#This Row],[City]],'List of Regions'!$A$1:$A$107,'List of Regions'!$B$1:$B$107)</f>
        <v>Ottawa</v>
      </c>
      <c r="L124" s="2" t="s">
        <v>461</v>
      </c>
      <c r="M124" s="2" t="s">
        <v>25</v>
      </c>
      <c r="N124">
        <v>26604</v>
      </c>
      <c r="O124" s="1">
        <v>45828</v>
      </c>
      <c r="P124">
        <v>344</v>
      </c>
    </row>
    <row r="125" spans="1:16" hidden="1" x14ac:dyDescent="0.25">
      <c r="A125" s="1">
        <v>45841.416666666664</v>
      </c>
      <c r="B125" s="2" t="s">
        <v>15</v>
      </c>
      <c r="C125" s="2" t="s">
        <v>171</v>
      </c>
      <c r="D125" s="2" t="s">
        <v>72</v>
      </c>
      <c r="E125" s="2" t="s">
        <v>18</v>
      </c>
      <c r="F125" s="2" t="s">
        <v>19</v>
      </c>
      <c r="G125" s="2" t="s">
        <v>458</v>
      </c>
      <c r="H125" s="2" t="s">
        <v>462</v>
      </c>
      <c r="I125" s="2" t="s">
        <v>463</v>
      </c>
      <c r="J125" s="2" t="s">
        <v>76</v>
      </c>
      <c r="K125" s="2" t="str">
        <f>_xlfn.XLOOKUP(Data_Tracking___Test_file__1[[#This Row],[City]],'List of Regions'!$A$1:$A$107,'List of Regions'!$B$1:$B$107)</f>
        <v>Ottawa</v>
      </c>
      <c r="L125" s="2" t="s">
        <v>464</v>
      </c>
      <c r="M125" s="2" t="s">
        <v>25</v>
      </c>
      <c r="N125">
        <v>26571</v>
      </c>
      <c r="O125" s="1">
        <v>45824</v>
      </c>
      <c r="P125">
        <v>513</v>
      </c>
    </row>
    <row r="126" spans="1:16" hidden="1" x14ac:dyDescent="0.25">
      <c r="A126" s="1">
        <v>45841.416666666664</v>
      </c>
      <c r="B126" s="2" t="s">
        <v>15</v>
      </c>
      <c r="C126" s="2" t="s">
        <v>171</v>
      </c>
      <c r="D126" s="2" t="s">
        <v>72</v>
      </c>
      <c r="E126" s="2" t="s">
        <v>18</v>
      </c>
      <c r="F126" s="2" t="s">
        <v>45</v>
      </c>
      <c r="G126" s="2" t="s">
        <v>182</v>
      </c>
      <c r="H126" s="2" t="s">
        <v>465</v>
      </c>
      <c r="I126" s="2" t="s">
        <v>466</v>
      </c>
      <c r="J126" s="2" t="s">
        <v>76</v>
      </c>
      <c r="K126" s="2" t="str">
        <f>_xlfn.XLOOKUP(Data_Tracking___Test_file__1[[#This Row],[City]],'List of Regions'!$A$1:$A$107,'List of Regions'!$B$1:$B$107)</f>
        <v>Ottawa</v>
      </c>
      <c r="L126" s="2" t="s">
        <v>467</v>
      </c>
      <c r="M126" s="2" t="s">
        <v>25</v>
      </c>
      <c r="N126">
        <v>26508</v>
      </c>
      <c r="O126" s="1">
        <v>45816</v>
      </c>
      <c r="P126">
        <v>299</v>
      </c>
    </row>
    <row r="127" spans="1:16" hidden="1" x14ac:dyDescent="0.25">
      <c r="A127" s="1">
        <v>45841.333333333336</v>
      </c>
      <c r="B127" s="2" t="s">
        <v>15</v>
      </c>
      <c r="C127" s="2" t="s">
        <v>171</v>
      </c>
      <c r="D127" s="2" t="s">
        <v>123</v>
      </c>
      <c r="E127" s="2" t="s">
        <v>18</v>
      </c>
      <c r="F127" s="2" t="s">
        <v>118</v>
      </c>
      <c r="G127" s="2" t="s">
        <v>458</v>
      </c>
      <c r="H127" s="2" t="s">
        <v>468</v>
      </c>
      <c r="I127" s="2" t="s">
        <v>469</v>
      </c>
      <c r="J127" s="2" t="s">
        <v>76</v>
      </c>
      <c r="K127" s="2" t="str">
        <f>_xlfn.XLOOKUP(Data_Tracking___Test_file__1[[#This Row],[City]],'List of Regions'!$A$1:$A$107,'List of Regions'!$B$1:$B$107)</f>
        <v>Ottawa</v>
      </c>
      <c r="L127" s="2" t="s">
        <v>470</v>
      </c>
      <c r="M127" s="2" t="s">
        <v>25</v>
      </c>
      <c r="N127">
        <v>26539</v>
      </c>
      <c r="O127" s="1">
        <v>45818</v>
      </c>
      <c r="P127">
        <v>792</v>
      </c>
    </row>
    <row r="128" spans="1:16" hidden="1" x14ac:dyDescent="0.25">
      <c r="A128" s="1">
        <v>45840.583333333336</v>
      </c>
      <c r="B128" s="2" t="s">
        <v>15</v>
      </c>
      <c r="C128" s="2" t="s">
        <v>16</v>
      </c>
      <c r="D128" s="2" t="s">
        <v>17</v>
      </c>
      <c r="E128" s="2" t="s">
        <v>18</v>
      </c>
      <c r="F128" s="2" t="s">
        <v>26</v>
      </c>
      <c r="G128" s="2" t="s">
        <v>27</v>
      </c>
      <c r="H128" s="2" t="s">
        <v>471</v>
      </c>
      <c r="I128" s="2" t="s">
        <v>472</v>
      </c>
      <c r="J128" s="2" t="s">
        <v>280</v>
      </c>
      <c r="K128" s="2" t="str">
        <f>_xlfn.XLOOKUP(Data_Tracking___Test_file__1[[#This Row],[City]],'List of Regions'!$A$1:$A$107,'List of Regions'!$B$1:$B$107)</f>
        <v>Ottawa</v>
      </c>
      <c r="L128" s="2" t="s">
        <v>473</v>
      </c>
      <c r="M128" s="2" t="s">
        <v>25</v>
      </c>
      <c r="N128">
        <v>26590</v>
      </c>
      <c r="O128" s="1">
        <v>45826</v>
      </c>
      <c r="P128">
        <v>433</v>
      </c>
    </row>
    <row r="129" spans="1:16" hidden="1" x14ac:dyDescent="0.25">
      <c r="A129" s="1">
        <v>45840.583333333336</v>
      </c>
      <c r="B129" s="2" t="s">
        <v>15</v>
      </c>
      <c r="C129" s="2" t="s">
        <v>16</v>
      </c>
      <c r="D129" s="2" t="s">
        <v>72</v>
      </c>
      <c r="E129" s="2" t="s">
        <v>18</v>
      </c>
      <c r="F129" s="2" t="s">
        <v>35</v>
      </c>
      <c r="G129" s="2" t="s">
        <v>474</v>
      </c>
      <c r="H129" s="2" t="s">
        <v>475</v>
      </c>
      <c r="I129" s="2" t="s">
        <v>476</v>
      </c>
      <c r="J129" s="2" t="s">
        <v>76</v>
      </c>
      <c r="K129" s="2" t="str">
        <f>_xlfn.XLOOKUP(Data_Tracking___Test_file__1[[#This Row],[City]],'List of Regions'!$A$1:$A$107,'List of Regions'!$B$1:$B$107)</f>
        <v>Ottawa</v>
      </c>
      <c r="L129" s="2" t="s">
        <v>477</v>
      </c>
      <c r="M129" s="2" t="s">
        <v>25</v>
      </c>
      <c r="N129">
        <v>26562</v>
      </c>
      <c r="O129" s="1">
        <v>45821</v>
      </c>
      <c r="P129">
        <v>314</v>
      </c>
    </row>
    <row r="130" spans="1:16" hidden="1" x14ac:dyDescent="0.25">
      <c r="A130" s="1">
        <v>45840.5</v>
      </c>
      <c r="B130" s="2" t="s">
        <v>15</v>
      </c>
      <c r="C130" s="2" t="s">
        <v>16</v>
      </c>
      <c r="D130" s="2" t="s">
        <v>17</v>
      </c>
      <c r="E130" s="2" t="s">
        <v>18</v>
      </c>
      <c r="F130" s="2" t="s">
        <v>19</v>
      </c>
      <c r="G130" s="2" t="s">
        <v>27</v>
      </c>
      <c r="H130" s="2" t="s">
        <v>478</v>
      </c>
      <c r="I130" s="2" t="s">
        <v>479</v>
      </c>
      <c r="J130" s="2" t="s">
        <v>280</v>
      </c>
      <c r="K130" s="2" t="str">
        <f>_xlfn.XLOOKUP(Data_Tracking___Test_file__1[[#This Row],[City]],'List of Regions'!$A$1:$A$107,'List of Regions'!$B$1:$B$107)</f>
        <v>Ottawa</v>
      </c>
      <c r="L130" s="2" t="s">
        <v>480</v>
      </c>
      <c r="M130" s="2" t="s">
        <v>25</v>
      </c>
      <c r="N130">
        <v>26589</v>
      </c>
      <c r="O130" s="1">
        <v>45826</v>
      </c>
      <c r="P130">
        <v>423</v>
      </c>
    </row>
    <row r="131" spans="1:16" hidden="1" x14ac:dyDescent="0.25">
      <c r="A131" s="1">
        <v>45840.5</v>
      </c>
      <c r="B131" s="2" t="s">
        <v>15</v>
      </c>
      <c r="C131" s="2" t="s">
        <v>16</v>
      </c>
      <c r="D131" s="2" t="s">
        <v>72</v>
      </c>
      <c r="E131" s="2" t="s">
        <v>18</v>
      </c>
      <c r="F131" s="2" t="s">
        <v>19</v>
      </c>
      <c r="G131" s="2" t="s">
        <v>474</v>
      </c>
      <c r="H131" s="2" t="s">
        <v>481</v>
      </c>
      <c r="I131" s="2" t="s">
        <v>482</v>
      </c>
      <c r="J131" s="2" t="s">
        <v>76</v>
      </c>
      <c r="K131" s="2" t="str">
        <f>_xlfn.XLOOKUP(Data_Tracking___Test_file__1[[#This Row],[City]],'List of Regions'!$A$1:$A$107,'List of Regions'!$B$1:$B$107)</f>
        <v>Ottawa</v>
      </c>
      <c r="L131" s="2" t="s">
        <v>483</v>
      </c>
      <c r="M131" s="2" t="s">
        <v>25</v>
      </c>
      <c r="N131">
        <v>26394</v>
      </c>
      <c r="O131" s="1">
        <v>45805</v>
      </c>
      <c r="P131">
        <v>374</v>
      </c>
    </row>
    <row r="132" spans="1:16" hidden="1" x14ac:dyDescent="0.25">
      <c r="A132" s="1">
        <v>45840.458333333336</v>
      </c>
      <c r="B132" s="2" t="s">
        <v>15</v>
      </c>
      <c r="C132" s="2" t="s">
        <v>16</v>
      </c>
      <c r="D132" s="2" t="s">
        <v>39</v>
      </c>
      <c r="E132" s="2" t="s">
        <v>18</v>
      </c>
      <c r="F132" s="2" t="s">
        <v>354</v>
      </c>
      <c r="G132" s="2" t="s">
        <v>474</v>
      </c>
      <c r="H132" s="2" t="s">
        <v>484</v>
      </c>
      <c r="I132" s="2" t="s">
        <v>485</v>
      </c>
      <c r="J132" s="2" t="s">
        <v>76</v>
      </c>
      <c r="K132" s="2" t="str">
        <f>_xlfn.XLOOKUP(Data_Tracking___Test_file__1[[#This Row],[City]],'List of Regions'!$A$1:$A$107,'List of Regions'!$B$1:$B$107)</f>
        <v>Ottawa</v>
      </c>
      <c r="L132" s="2" t="s">
        <v>486</v>
      </c>
      <c r="M132" s="2" t="s">
        <v>25</v>
      </c>
      <c r="N132">
        <v>26668</v>
      </c>
      <c r="O132" s="1">
        <v>45834</v>
      </c>
      <c r="P132">
        <v>199</v>
      </c>
    </row>
    <row r="133" spans="1:16" hidden="1" x14ac:dyDescent="0.25">
      <c r="A133" s="1">
        <v>45840.416666666664</v>
      </c>
      <c r="B133" s="2" t="s">
        <v>15</v>
      </c>
      <c r="C133" s="2" t="s">
        <v>16</v>
      </c>
      <c r="D133" s="2" t="s">
        <v>72</v>
      </c>
      <c r="E133" s="2" t="s">
        <v>18</v>
      </c>
      <c r="F133" s="2" t="s">
        <v>35</v>
      </c>
      <c r="G133" s="2" t="s">
        <v>474</v>
      </c>
      <c r="H133" s="2" t="s">
        <v>487</v>
      </c>
      <c r="I133" s="2" t="s">
        <v>488</v>
      </c>
      <c r="J133" s="2" t="s">
        <v>76</v>
      </c>
      <c r="K133" s="2" t="str">
        <f>_xlfn.XLOOKUP(Data_Tracking___Test_file__1[[#This Row],[City]],'List of Regions'!$A$1:$A$107,'List of Regions'!$B$1:$B$107)</f>
        <v>Ottawa</v>
      </c>
      <c r="L133" s="2" t="s">
        <v>489</v>
      </c>
      <c r="M133" s="2" t="s">
        <v>25</v>
      </c>
      <c r="N133">
        <v>26535</v>
      </c>
      <c r="O133" s="1">
        <v>45818</v>
      </c>
      <c r="P133">
        <v>449</v>
      </c>
    </row>
    <row r="134" spans="1:16" x14ac:dyDescent="0.25">
      <c r="A134" s="1">
        <v>45840.333333333336</v>
      </c>
      <c r="B134" s="2" t="s">
        <v>15</v>
      </c>
      <c r="C134" s="2" t="s">
        <v>16</v>
      </c>
      <c r="D134" s="2" t="s">
        <v>17</v>
      </c>
      <c r="E134" s="2" t="s">
        <v>18</v>
      </c>
      <c r="F134" s="2" t="s">
        <v>35</v>
      </c>
      <c r="G134" s="2" t="s">
        <v>27</v>
      </c>
      <c r="H134" s="2" t="s">
        <v>490</v>
      </c>
      <c r="I134" s="2" t="s">
        <v>491</v>
      </c>
      <c r="J134" s="2" t="s">
        <v>492</v>
      </c>
      <c r="K134" s="2" t="str">
        <f>_xlfn.XLOOKUP(Data_Tracking___Test_file__1[[#This Row],[City]],'List of Regions'!$A$1:$A$107,'List of Regions'!$B$1:$B$107)</f>
        <v>Ottawa</v>
      </c>
      <c r="L134" s="2" t="s">
        <v>493</v>
      </c>
      <c r="M134" s="2" t="s">
        <v>25</v>
      </c>
      <c r="N134">
        <v>26469</v>
      </c>
      <c r="O134" s="1">
        <v>45813</v>
      </c>
      <c r="P134">
        <v>494</v>
      </c>
    </row>
    <row r="135" spans="1:16" hidden="1" x14ac:dyDescent="0.25">
      <c r="A135" s="1">
        <v>45840.333333333336</v>
      </c>
      <c r="B135" s="2" t="s">
        <v>15</v>
      </c>
      <c r="C135" s="2" t="s">
        <v>16</v>
      </c>
      <c r="D135" s="2" t="s">
        <v>17</v>
      </c>
      <c r="E135" s="2" t="s">
        <v>18</v>
      </c>
      <c r="F135" s="2" t="s">
        <v>19</v>
      </c>
      <c r="G135" s="2" t="s">
        <v>182</v>
      </c>
      <c r="H135" s="2" t="s">
        <v>494</v>
      </c>
      <c r="I135" s="2" t="s">
        <v>495</v>
      </c>
      <c r="J135" s="2" t="s">
        <v>76</v>
      </c>
      <c r="K135" s="2" t="str">
        <f>_xlfn.XLOOKUP(Data_Tracking___Test_file__1[[#This Row],[City]],'List of Regions'!$A$1:$A$107,'List of Regions'!$B$1:$B$107)</f>
        <v>Ottawa</v>
      </c>
      <c r="L135" s="2" t="s">
        <v>496</v>
      </c>
      <c r="M135" s="2" t="s">
        <v>25</v>
      </c>
      <c r="N135">
        <v>26552</v>
      </c>
      <c r="O135" s="1">
        <v>45820</v>
      </c>
      <c r="P135">
        <v>324</v>
      </c>
    </row>
    <row r="136" spans="1:16" hidden="1" x14ac:dyDescent="0.25">
      <c r="A136" s="1">
        <v>45839.583333333336</v>
      </c>
      <c r="B136" s="2" t="s">
        <v>15</v>
      </c>
      <c r="C136" s="2" t="s">
        <v>58</v>
      </c>
      <c r="D136" s="2" t="s">
        <v>17</v>
      </c>
      <c r="E136" s="2" t="s">
        <v>18</v>
      </c>
      <c r="F136" s="2" t="s">
        <v>35</v>
      </c>
      <c r="G136" s="2" t="s">
        <v>27</v>
      </c>
      <c r="H136" s="2" t="s">
        <v>497</v>
      </c>
      <c r="I136" s="2" t="s">
        <v>498</v>
      </c>
      <c r="J136" s="2" t="s">
        <v>30</v>
      </c>
      <c r="K136" s="2" t="str">
        <f>_xlfn.XLOOKUP(Data_Tracking___Test_file__1[[#This Row],[City]],'List of Regions'!$A$1:$A$107,'List of Regions'!$B$1:$B$107)</f>
        <v>Kingston</v>
      </c>
      <c r="L136" s="2" t="s">
        <v>499</v>
      </c>
      <c r="M136" s="2" t="s">
        <v>25</v>
      </c>
      <c r="N136">
        <v>26663</v>
      </c>
      <c r="O136" s="1">
        <v>45834</v>
      </c>
      <c r="P136">
        <v>503</v>
      </c>
    </row>
    <row r="137" spans="1:16" hidden="1" x14ac:dyDescent="0.25">
      <c r="A137" s="1">
        <v>45839.583333333336</v>
      </c>
      <c r="B137" s="2" t="s">
        <v>15</v>
      </c>
      <c r="C137" s="2" t="s">
        <v>58</v>
      </c>
      <c r="D137" s="2" t="s">
        <v>17</v>
      </c>
      <c r="E137" s="2" t="s">
        <v>18</v>
      </c>
      <c r="F137" s="2" t="s">
        <v>19</v>
      </c>
      <c r="G137" s="2" t="s">
        <v>329</v>
      </c>
      <c r="H137" s="2" t="s">
        <v>500</v>
      </c>
      <c r="I137" s="2" t="s">
        <v>501</v>
      </c>
      <c r="J137" s="2" t="s">
        <v>30</v>
      </c>
      <c r="K137" s="2" t="str">
        <f>_xlfn.XLOOKUP(Data_Tracking___Test_file__1[[#This Row],[City]],'List of Regions'!$A$1:$A$107,'List of Regions'!$B$1:$B$107)</f>
        <v>Kingston</v>
      </c>
      <c r="L137" s="2" t="s">
        <v>502</v>
      </c>
      <c r="M137" s="2" t="s">
        <v>25</v>
      </c>
      <c r="N137">
        <v>26627</v>
      </c>
      <c r="O137" s="1">
        <v>45832</v>
      </c>
      <c r="P137">
        <v>478</v>
      </c>
    </row>
    <row r="138" spans="1:16" hidden="1" x14ac:dyDescent="0.25">
      <c r="A138" s="1">
        <v>45839.5</v>
      </c>
      <c r="B138" s="2" t="s">
        <v>15</v>
      </c>
      <c r="C138" s="2" t="s">
        <v>58</v>
      </c>
      <c r="D138" s="2" t="s">
        <v>17</v>
      </c>
      <c r="E138" s="2" t="s">
        <v>18</v>
      </c>
      <c r="F138" s="2" t="s">
        <v>40</v>
      </c>
      <c r="G138" s="2" t="s">
        <v>27</v>
      </c>
      <c r="H138" s="2" t="s">
        <v>503</v>
      </c>
      <c r="I138" s="2" t="s">
        <v>504</v>
      </c>
      <c r="J138" s="2" t="s">
        <v>272</v>
      </c>
      <c r="K138" s="2" t="str">
        <f>_xlfn.XLOOKUP(Data_Tracking___Test_file__1[[#This Row],[City]],'List of Regions'!$A$1:$A$107,'List of Regions'!$B$1:$B$107)</f>
        <v>Ottawa</v>
      </c>
      <c r="L138" s="2" t="s">
        <v>505</v>
      </c>
      <c r="M138" s="2" t="s">
        <v>25</v>
      </c>
      <c r="N138">
        <v>26676</v>
      </c>
      <c r="O138" s="1">
        <v>45837</v>
      </c>
      <c r="P138">
        <v>642</v>
      </c>
    </row>
    <row r="139" spans="1:16" x14ac:dyDescent="0.25">
      <c r="A139" s="1">
        <v>45839.5</v>
      </c>
      <c r="B139" s="2" t="s">
        <v>15</v>
      </c>
      <c r="C139" s="2" t="s">
        <v>58</v>
      </c>
      <c r="D139" s="2" t="s">
        <v>17</v>
      </c>
      <c r="E139" s="2" t="s">
        <v>18</v>
      </c>
      <c r="F139" s="2" t="s">
        <v>19</v>
      </c>
      <c r="G139" s="2" t="s">
        <v>329</v>
      </c>
      <c r="H139" s="2" t="s">
        <v>506</v>
      </c>
      <c r="I139" s="2" t="s">
        <v>507</v>
      </c>
      <c r="J139" s="2" t="s">
        <v>177</v>
      </c>
      <c r="K139" s="2" t="str">
        <f>_xlfn.XLOOKUP(Data_Tracking___Test_file__1[[#This Row],[City]],'List of Regions'!$A$1:$A$107,'List of Regions'!$B$1:$B$107)</f>
        <v>Kingston</v>
      </c>
      <c r="L139" s="2" t="s">
        <v>508</v>
      </c>
      <c r="M139" s="2" t="s">
        <v>25</v>
      </c>
      <c r="N139">
        <v>26626</v>
      </c>
      <c r="O139" s="1">
        <v>45832</v>
      </c>
      <c r="P139">
        <v>359</v>
      </c>
    </row>
    <row r="140" spans="1:16" hidden="1" x14ac:dyDescent="0.25">
      <c r="A140" s="1">
        <v>45839.5</v>
      </c>
      <c r="B140" s="2" t="s">
        <v>15</v>
      </c>
      <c r="C140" s="2" t="s">
        <v>58</v>
      </c>
      <c r="D140" s="2" t="s">
        <v>114</v>
      </c>
      <c r="E140" s="2" t="s">
        <v>18</v>
      </c>
      <c r="F140" s="2" t="s">
        <v>19</v>
      </c>
      <c r="G140" s="2" t="s">
        <v>73</v>
      </c>
      <c r="H140" s="2" t="s">
        <v>509</v>
      </c>
      <c r="I140" s="2" t="s">
        <v>510</v>
      </c>
      <c r="J140" s="2" t="s">
        <v>76</v>
      </c>
      <c r="K140" s="2" t="str">
        <f>_xlfn.XLOOKUP(Data_Tracking___Test_file__1[[#This Row],[City]],'List of Regions'!$A$1:$A$107,'List of Regions'!$B$1:$B$107)</f>
        <v>Ottawa</v>
      </c>
      <c r="L140" s="2" t="s">
        <v>511</v>
      </c>
      <c r="M140" s="2" t="s">
        <v>25</v>
      </c>
      <c r="N140">
        <v>26530</v>
      </c>
      <c r="O140" s="1">
        <v>45817</v>
      </c>
      <c r="P140">
        <v>778</v>
      </c>
    </row>
    <row r="141" spans="1:16" hidden="1" x14ac:dyDescent="0.25">
      <c r="A141" s="1">
        <v>45839.458333333336</v>
      </c>
      <c r="B141" s="2" t="s">
        <v>15</v>
      </c>
      <c r="C141" s="2" t="s">
        <v>58</v>
      </c>
      <c r="D141" s="2" t="s">
        <v>39</v>
      </c>
      <c r="E141" s="2" t="s">
        <v>18</v>
      </c>
      <c r="F141" s="2" t="s">
        <v>19</v>
      </c>
      <c r="G141" s="2" t="s">
        <v>73</v>
      </c>
      <c r="H141" s="2" t="s">
        <v>512</v>
      </c>
      <c r="I141" s="2" t="s">
        <v>513</v>
      </c>
      <c r="J141" s="2" t="s">
        <v>76</v>
      </c>
      <c r="K141" s="2" t="str">
        <f>_xlfn.XLOOKUP(Data_Tracking___Test_file__1[[#This Row],[City]],'List of Regions'!$A$1:$A$107,'List of Regions'!$B$1:$B$107)</f>
        <v>Ottawa</v>
      </c>
      <c r="L141" s="2" t="s">
        <v>514</v>
      </c>
      <c r="M141" s="2" t="s">
        <v>25</v>
      </c>
      <c r="N141">
        <v>26650</v>
      </c>
      <c r="O141" s="1">
        <v>45833</v>
      </c>
      <c r="P141">
        <v>349</v>
      </c>
    </row>
    <row r="142" spans="1:16" hidden="1" x14ac:dyDescent="0.25">
      <c r="A142" s="1">
        <v>45839.333333333336</v>
      </c>
      <c r="B142" s="2" t="s">
        <v>15</v>
      </c>
      <c r="C142" s="2" t="s">
        <v>58</v>
      </c>
      <c r="D142" s="2" t="s">
        <v>123</v>
      </c>
      <c r="E142" s="2" t="s">
        <v>18</v>
      </c>
      <c r="F142" s="2" t="s">
        <v>118</v>
      </c>
      <c r="G142" s="2" t="s">
        <v>27</v>
      </c>
      <c r="H142" s="2" t="s">
        <v>515</v>
      </c>
      <c r="I142" s="2" t="s">
        <v>516</v>
      </c>
      <c r="J142" s="2" t="s">
        <v>272</v>
      </c>
      <c r="K142" s="2" t="str">
        <f>_xlfn.XLOOKUP(Data_Tracking___Test_file__1[[#This Row],[City]],'List of Regions'!$A$1:$A$107,'List of Regions'!$B$1:$B$107)</f>
        <v>Ottawa</v>
      </c>
      <c r="L142" s="2" t="s">
        <v>517</v>
      </c>
      <c r="M142" s="2" t="s">
        <v>25</v>
      </c>
      <c r="N142">
        <v>26640</v>
      </c>
      <c r="O142" s="1">
        <v>45832</v>
      </c>
      <c r="P142">
        <v>949</v>
      </c>
    </row>
    <row r="143" spans="1:16" hidden="1" x14ac:dyDescent="0.25">
      <c r="A143" s="1">
        <v>45839.333333333336</v>
      </c>
      <c r="B143" s="2" t="s">
        <v>15</v>
      </c>
      <c r="C143" s="2" t="s">
        <v>58</v>
      </c>
      <c r="D143" s="2" t="s">
        <v>72</v>
      </c>
      <c r="E143" s="2" t="s">
        <v>18</v>
      </c>
      <c r="F143" s="2" t="s">
        <v>35</v>
      </c>
      <c r="G143" s="2" t="s">
        <v>73</v>
      </c>
      <c r="H143" s="2" t="s">
        <v>518</v>
      </c>
      <c r="I143" s="2" t="s">
        <v>519</v>
      </c>
      <c r="J143" s="2" t="s">
        <v>76</v>
      </c>
      <c r="K143" s="2" t="str">
        <f>_xlfn.XLOOKUP(Data_Tracking___Test_file__1[[#This Row],[City]],'List of Regions'!$A$1:$A$107,'List of Regions'!$B$1:$B$107)</f>
        <v>Ottawa</v>
      </c>
      <c r="L143" s="2" t="s">
        <v>520</v>
      </c>
      <c r="M143" s="2" t="s">
        <v>25</v>
      </c>
      <c r="N143">
        <v>26551</v>
      </c>
      <c r="O143" s="1">
        <v>45820</v>
      </c>
      <c r="P143">
        <v>688</v>
      </c>
    </row>
    <row r="144" spans="1:16" hidden="1" x14ac:dyDescent="0.25">
      <c r="A144" s="1">
        <v>45835.583333333336</v>
      </c>
      <c r="B144" s="2" t="s">
        <v>521</v>
      </c>
      <c r="C144" s="2" t="s">
        <v>136</v>
      </c>
      <c r="D144" s="2" t="s">
        <v>72</v>
      </c>
      <c r="E144" s="2" t="s">
        <v>18</v>
      </c>
      <c r="F144" s="2" t="s">
        <v>35</v>
      </c>
      <c r="G144" s="2" t="s">
        <v>474</v>
      </c>
      <c r="H144" s="2" t="s">
        <v>522</v>
      </c>
      <c r="I144" s="2" t="s">
        <v>523</v>
      </c>
      <c r="J144" s="2" t="s">
        <v>76</v>
      </c>
      <c r="K144" s="2" t="str">
        <f>_xlfn.XLOOKUP(Data_Tracking___Test_file__1[[#This Row],[City]],'List of Regions'!$A$1:$A$107,'List of Regions'!$B$1:$B$107)</f>
        <v>Ottawa</v>
      </c>
      <c r="L144" s="2" t="s">
        <v>524</v>
      </c>
      <c r="M144" s="2" t="s">
        <v>25</v>
      </c>
      <c r="N144">
        <v>26467</v>
      </c>
      <c r="O144" s="1">
        <v>45813</v>
      </c>
      <c r="P144">
        <v>398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B92DB-CBBE-47FC-8DAE-88598C65294A}">
  <dimension ref="A1:B107"/>
  <sheetViews>
    <sheetView topLeftCell="A107" workbookViewId="0">
      <selection activeCell="A107" sqref="A107"/>
    </sheetView>
  </sheetViews>
  <sheetFormatPr defaultRowHeight="15" x14ac:dyDescent="0.25"/>
  <cols>
    <col min="1" max="1" width="23.140625" bestFit="1" customWidth="1"/>
    <col min="2" max="2" width="9.5703125" bestFit="1" customWidth="1"/>
  </cols>
  <sheetData>
    <row r="1" spans="1:2" x14ac:dyDescent="0.25">
      <c r="A1" t="s">
        <v>9</v>
      </c>
      <c r="B1" t="s">
        <v>525</v>
      </c>
    </row>
    <row r="2" spans="1:2" ht="15.75" customHeight="1" x14ac:dyDescent="0.25">
      <c r="A2" s="2" t="s">
        <v>76</v>
      </c>
      <c r="B2" s="2" t="s">
        <v>76</v>
      </c>
    </row>
    <row r="3" spans="1:2" x14ac:dyDescent="0.25">
      <c r="A3" s="2" t="s">
        <v>526</v>
      </c>
      <c r="B3" s="2" t="s">
        <v>76</v>
      </c>
    </row>
    <row r="4" spans="1:2" x14ac:dyDescent="0.25">
      <c r="A4" s="2" t="s">
        <v>527</v>
      </c>
      <c r="B4" s="2" t="s">
        <v>76</v>
      </c>
    </row>
    <row r="5" spans="1:2" x14ac:dyDescent="0.25">
      <c r="A5" s="2" t="s">
        <v>528</v>
      </c>
      <c r="B5" s="2" t="s">
        <v>76</v>
      </c>
    </row>
    <row r="6" spans="1:2" x14ac:dyDescent="0.25">
      <c r="A6" s="2" t="s">
        <v>529</v>
      </c>
      <c r="B6" s="2" t="s">
        <v>76</v>
      </c>
    </row>
    <row r="7" spans="1:2" x14ac:dyDescent="0.25">
      <c r="A7" s="2" t="s">
        <v>530</v>
      </c>
      <c r="B7" s="2" t="s">
        <v>76</v>
      </c>
    </row>
    <row r="8" spans="1:2" x14ac:dyDescent="0.25">
      <c r="A8" s="2" t="s">
        <v>531</v>
      </c>
      <c r="B8" s="2" t="s">
        <v>76</v>
      </c>
    </row>
    <row r="9" spans="1:2" x14ac:dyDescent="0.25">
      <c r="A9" s="2" t="s">
        <v>340</v>
      </c>
      <c r="B9" s="2" t="s">
        <v>76</v>
      </c>
    </row>
    <row r="10" spans="1:2" x14ac:dyDescent="0.25">
      <c r="A10" s="2" t="s">
        <v>532</v>
      </c>
      <c r="B10" s="2" t="s">
        <v>76</v>
      </c>
    </row>
    <row r="11" spans="1:2" x14ac:dyDescent="0.25">
      <c r="A11" s="2" t="s">
        <v>533</v>
      </c>
      <c r="B11" s="2" t="s">
        <v>76</v>
      </c>
    </row>
    <row r="12" spans="1:2" x14ac:dyDescent="0.25">
      <c r="A12" s="2" t="s">
        <v>534</v>
      </c>
      <c r="B12" s="2" t="s">
        <v>76</v>
      </c>
    </row>
    <row r="13" spans="1:2" x14ac:dyDescent="0.25">
      <c r="A13" s="2" t="s">
        <v>535</v>
      </c>
      <c r="B13" s="2" t="s">
        <v>76</v>
      </c>
    </row>
    <row r="14" spans="1:2" x14ac:dyDescent="0.25">
      <c r="A14" s="2" t="s">
        <v>536</v>
      </c>
      <c r="B14" s="2" t="s">
        <v>76</v>
      </c>
    </row>
    <row r="15" spans="1:2" x14ac:dyDescent="0.25">
      <c r="A15" s="2" t="s">
        <v>537</v>
      </c>
      <c r="B15" s="2" t="s">
        <v>76</v>
      </c>
    </row>
    <row r="16" spans="1:2" x14ac:dyDescent="0.25">
      <c r="A16" s="2" t="s">
        <v>538</v>
      </c>
      <c r="B16" s="2" t="s">
        <v>76</v>
      </c>
    </row>
    <row r="17" spans="1:2" x14ac:dyDescent="0.25">
      <c r="A17" s="2" t="s">
        <v>539</v>
      </c>
      <c r="B17" s="2" t="s">
        <v>76</v>
      </c>
    </row>
    <row r="18" spans="1:2" x14ac:dyDescent="0.25">
      <c r="A18" s="2" t="s">
        <v>421</v>
      </c>
      <c r="B18" s="2" t="s">
        <v>76</v>
      </c>
    </row>
    <row r="19" spans="1:2" x14ac:dyDescent="0.25">
      <c r="A19" s="2" t="s">
        <v>540</v>
      </c>
      <c r="B19" s="2" t="s">
        <v>76</v>
      </c>
    </row>
    <row r="20" spans="1:2" x14ac:dyDescent="0.25">
      <c r="A20" s="2" t="s">
        <v>207</v>
      </c>
      <c r="B20" s="2" t="s">
        <v>76</v>
      </c>
    </row>
    <row r="21" spans="1:2" x14ac:dyDescent="0.25">
      <c r="A21" s="2" t="s">
        <v>280</v>
      </c>
      <c r="B21" s="2" t="s">
        <v>76</v>
      </c>
    </row>
    <row r="22" spans="1:2" x14ac:dyDescent="0.25">
      <c r="A22" s="2" t="s">
        <v>272</v>
      </c>
      <c r="B22" s="2" t="s">
        <v>76</v>
      </c>
    </row>
    <row r="23" spans="1:2" x14ac:dyDescent="0.25">
      <c r="A23" s="2" t="s">
        <v>541</v>
      </c>
      <c r="B23" s="2" t="s">
        <v>76</v>
      </c>
    </row>
    <row r="24" spans="1:2" x14ac:dyDescent="0.25">
      <c r="A24" s="2" t="s">
        <v>542</v>
      </c>
      <c r="B24" s="2" t="s">
        <v>542</v>
      </c>
    </row>
    <row r="25" spans="1:2" x14ac:dyDescent="0.25">
      <c r="A25" s="2" t="s">
        <v>543</v>
      </c>
      <c r="B25" s="2" t="s">
        <v>542</v>
      </c>
    </row>
    <row r="26" spans="1:2" x14ac:dyDescent="0.25">
      <c r="A26" s="2" t="s">
        <v>544</v>
      </c>
      <c r="B26" s="2" t="s">
        <v>542</v>
      </c>
    </row>
    <row r="27" spans="1:2" x14ac:dyDescent="0.25">
      <c r="A27" s="2" t="s">
        <v>545</v>
      </c>
      <c r="B27" s="2" t="s">
        <v>542</v>
      </c>
    </row>
    <row r="28" spans="1:2" x14ac:dyDescent="0.25">
      <c r="A28" s="2" t="s">
        <v>546</v>
      </c>
      <c r="B28" s="2" t="s">
        <v>542</v>
      </c>
    </row>
    <row r="29" spans="1:2" x14ac:dyDescent="0.25">
      <c r="A29" s="2" t="s">
        <v>547</v>
      </c>
      <c r="B29" s="2" t="s">
        <v>542</v>
      </c>
    </row>
    <row r="30" spans="1:2" x14ac:dyDescent="0.25">
      <c r="A30" s="2" t="s">
        <v>548</v>
      </c>
      <c r="B30" s="2" t="s">
        <v>542</v>
      </c>
    </row>
    <row r="31" spans="1:2" x14ac:dyDescent="0.25">
      <c r="A31" s="2" t="s">
        <v>549</v>
      </c>
      <c r="B31" s="2" t="s">
        <v>542</v>
      </c>
    </row>
    <row r="32" spans="1:2" x14ac:dyDescent="0.25">
      <c r="A32" s="2" t="s">
        <v>550</v>
      </c>
      <c r="B32" s="2" t="s">
        <v>542</v>
      </c>
    </row>
    <row r="33" spans="1:2" x14ac:dyDescent="0.25">
      <c r="A33" s="2" t="s">
        <v>551</v>
      </c>
      <c r="B33" s="2" t="s">
        <v>542</v>
      </c>
    </row>
    <row r="34" spans="1:2" x14ac:dyDescent="0.25">
      <c r="A34" s="2" t="s">
        <v>552</v>
      </c>
      <c r="B34" s="2" t="s">
        <v>542</v>
      </c>
    </row>
    <row r="35" spans="1:2" x14ac:dyDescent="0.25">
      <c r="A35" s="2" t="s">
        <v>553</v>
      </c>
      <c r="B35" s="2" t="s">
        <v>542</v>
      </c>
    </row>
    <row r="36" spans="1:2" x14ac:dyDescent="0.25">
      <c r="A36" s="2" t="s">
        <v>554</v>
      </c>
      <c r="B36" s="2" t="s">
        <v>542</v>
      </c>
    </row>
    <row r="37" spans="1:2" x14ac:dyDescent="0.25">
      <c r="A37" s="2" t="s">
        <v>555</v>
      </c>
      <c r="B37" s="2" t="s">
        <v>556</v>
      </c>
    </row>
    <row r="38" spans="1:2" x14ac:dyDescent="0.25">
      <c r="A38" s="2" t="s">
        <v>557</v>
      </c>
      <c r="B38" s="2" t="s">
        <v>556</v>
      </c>
    </row>
    <row r="39" spans="1:2" x14ac:dyDescent="0.25">
      <c r="A39" s="2" t="s">
        <v>558</v>
      </c>
      <c r="B39" s="2" t="s">
        <v>556</v>
      </c>
    </row>
    <row r="40" spans="1:2" x14ac:dyDescent="0.25">
      <c r="A40" s="2" t="s">
        <v>559</v>
      </c>
      <c r="B40" s="2" t="s">
        <v>556</v>
      </c>
    </row>
    <row r="41" spans="1:2" x14ac:dyDescent="0.25">
      <c r="A41" s="2" t="s">
        <v>560</v>
      </c>
      <c r="B41" s="2" t="s">
        <v>556</v>
      </c>
    </row>
    <row r="42" spans="1:2" x14ac:dyDescent="0.25">
      <c r="A42" s="2" t="s">
        <v>561</v>
      </c>
      <c r="B42" s="2" t="s">
        <v>556</v>
      </c>
    </row>
    <row r="43" spans="1:2" x14ac:dyDescent="0.25">
      <c r="A43" s="2" t="s">
        <v>562</v>
      </c>
      <c r="B43" s="2" t="s">
        <v>556</v>
      </c>
    </row>
    <row r="44" spans="1:2" x14ac:dyDescent="0.25">
      <c r="A44" s="2" t="s">
        <v>563</v>
      </c>
      <c r="B44" s="2" t="s">
        <v>556</v>
      </c>
    </row>
    <row r="45" spans="1:2" x14ac:dyDescent="0.25">
      <c r="A45" s="2" t="s">
        <v>564</v>
      </c>
      <c r="B45" s="2" t="s">
        <v>556</v>
      </c>
    </row>
    <row r="46" spans="1:2" x14ac:dyDescent="0.25">
      <c r="A46" s="2" t="s">
        <v>565</v>
      </c>
      <c r="B46" s="2" t="s">
        <v>556</v>
      </c>
    </row>
    <row r="47" spans="1:2" x14ac:dyDescent="0.25">
      <c r="A47" s="2" t="s">
        <v>566</v>
      </c>
      <c r="B47" s="2" t="s">
        <v>556</v>
      </c>
    </row>
    <row r="48" spans="1:2" x14ac:dyDescent="0.25">
      <c r="A48" s="2" t="s">
        <v>567</v>
      </c>
      <c r="B48" s="2" t="s">
        <v>556</v>
      </c>
    </row>
    <row r="49" spans="1:2" x14ac:dyDescent="0.25">
      <c r="A49" s="2" t="s">
        <v>568</v>
      </c>
      <c r="B49" s="2" t="s">
        <v>556</v>
      </c>
    </row>
    <row r="50" spans="1:2" x14ac:dyDescent="0.25">
      <c r="A50" s="2" t="s">
        <v>569</v>
      </c>
      <c r="B50" s="2" t="s">
        <v>556</v>
      </c>
    </row>
    <row r="51" spans="1:2" x14ac:dyDescent="0.25">
      <c r="A51" s="2" t="s">
        <v>570</v>
      </c>
      <c r="B51" s="2" t="s">
        <v>556</v>
      </c>
    </row>
    <row r="52" spans="1:2" x14ac:dyDescent="0.25">
      <c r="A52" s="2" t="s">
        <v>571</v>
      </c>
      <c r="B52" s="2" t="s">
        <v>556</v>
      </c>
    </row>
    <row r="53" spans="1:2" x14ac:dyDescent="0.25">
      <c r="A53" s="2" t="s">
        <v>572</v>
      </c>
      <c r="B53" s="2" t="s">
        <v>556</v>
      </c>
    </row>
    <row r="54" spans="1:2" x14ac:dyDescent="0.25">
      <c r="A54" s="2" t="s">
        <v>573</v>
      </c>
      <c r="B54" s="2" t="s">
        <v>556</v>
      </c>
    </row>
    <row r="55" spans="1:2" x14ac:dyDescent="0.25">
      <c r="A55" s="2" t="s">
        <v>574</v>
      </c>
      <c r="B55" s="2" t="s">
        <v>556</v>
      </c>
    </row>
    <row r="56" spans="1:2" x14ac:dyDescent="0.25">
      <c r="A56" s="2" t="s">
        <v>575</v>
      </c>
      <c r="B56" s="2" t="s">
        <v>556</v>
      </c>
    </row>
    <row r="57" spans="1:2" x14ac:dyDescent="0.25">
      <c r="A57" s="2" t="s">
        <v>576</v>
      </c>
      <c r="B57" s="2" t="s">
        <v>556</v>
      </c>
    </row>
    <row r="58" spans="1:2" x14ac:dyDescent="0.25">
      <c r="A58" s="2" t="s">
        <v>577</v>
      </c>
      <c r="B58" s="2" t="s">
        <v>556</v>
      </c>
    </row>
    <row r="59" spans="1:2" x14ac:dyDescent="0.25">
      <c r="A59" s="2" t="s">
        <v>578</v>
      </c>
      <c r="B59" s="2" t="s">
        <v>556</v>
      </c>
    </row>
    <row r="60" spans="1:2" x14ac:dyDescent="0.25">
      <c r="A60" s="2" t="s">
        <v>579</v>
      </c>
      <c r="B60" s="2" t="s">
        <v>556</v>
      </c>
    </row>
    <row r="61" spans="1:2" x14ac:dyDescent="0.25">
      <c r="A61" s="2" t="s">
        <v>580</v>
      </c>
      <c r="B61" s="2" t="s">
        <v>556</v>
      </c>
    </row>
    <row r="62" spans="1:2" x14ac:dyDescent="0.25">
      <c r="A62" s="2" t="s">
        <v>556</v>
      </c>
      <c r="B62" s="2" t="s">
        <v>556</v>
      </c>
    </row>
    <row r="63" spans="1:2" x14ac:dyDescent="0.25">
      <c r="A63" s="2" t="s">
        <v>581</v>
      </c>
      <c r="B63" s="2" t="s">
        <v>83</v>
      </c>
    </row>
    <row r="64" spans="1:2" x14ac:dyDescent="0.25">
      <c r="A64" s="2" t="s">
        <v>83</v>
      </c>
      <c r="B64" s="2" t="s">
        <v>83</v>
      </c>
    </row>
    <row r="65" spans="1:2" x14ac:dyDescent="0.25">
      <c r="A65" s="2" t="s">
        <v>165</v>
      </c>
      <c r="B65" s="2" t="s">
        <v>83</v>
      </c>
    </row>
    <row r="66" spans="1:2" x14ac:dyDescent="0.25">
      <c r="A66" s="2" t="s">
        <v>23</v>
      </c>
      <c r="B66" s="2" t="s">
        <v>83</v>
      </c>
    </row>
    <row r="67" spans="1:2" x14ac:dyDescent="0.25">
      <c r="A67" s="2" t="s">
        <v>70</v>
      </c>
      <c r="B67" s="2" t="s">
        <v>83</v>
      </c>
    </row>
    <row r="68" spans="1:2" x14ac:dyDescent="0.25">
      <c r="A68" s="2" t="s">
        <v>582</v>
      </c>
      <c r="B68" s="2" t="s">
        <v>83</v>
      </c>
    </row>
    <row r="69" spans="1:2" x14ac:dyDescent="0.25">
      <c r="A69" s="2" t="s">
        <v>332</v>
      </c>
      <c r="B69" s="2" t="s">
        <v>83</v>
      </c>
    </row>
    <row r="70" spans="1:2" x14ac:dyDescent="0.25">
      <c r="A70" s="2" t="s">
        <v>221</v>
      </c>
      <c r="B70" s="2" t="s">
        <v>83</v>
      </c>
    </row>
    <row r="71" spans="1:2" x14ac:dyDescent="0.25">
      <c r="A71" s="2" t="s">
        <v>583</v>
      </c>
      <c r="B71" s="2" t="s">
        <v>83</v>
      </c>
    </row>
    <row r="72" spans="1:2" x14ac:dyDescent="0.25">
      <c r="A72" s="2" t="s">
        <v>584</v>
      </c>
      <c r="B72" s="2" t="s">
        <v>83</v>
      </c>
    </row>
    <row r="73" spans="1:2" x14ac:dyDescent="0.25">
      <c r="A73" s="2" t="s">
        <v>585</v>
      </c>
      <c r="B73" s="2" t="s">
        <v>586</v>
      </c>
    </row>
    <row r="74" spans="1:2" x14ac:dyDescent="0.25">
      <c r="A74" s="2" t="s">
        <v>587</v>
      </c>
      <c r="B74" s="2" t="s">
        <v>586</v>
      </c>
    </row>
    <row r="75" spans="1:2" x14ac:dyDescent="0.25">
      <c r="A75" s="2" t="s">
        <v>588</v>
      </c>
      <c r="B75" s="2" t="s">
        <v>586</v>
      </c>
    </row>
    <row r="76" spans="1:2" x14ac:dyDescent="0.25">
      <c r="A76" s="2" t="s">
        <v>589</v>
      </c>
      <c r="B76" s="2" t="s">
        <v>586</v>
      </c>
    </row>
    <row r="77" spans="1:2" x14ac:dyDescent="0.25">
      <c r="A77" s="2" t="s">
        <v>590</v>
      </c>
      <c r="B77" s="2" t="s">
        <v>586</v>
      </c>
    </row>
    <row r="78" spans="1:2" x14ac:dyDescent="0.25">
      <c r="A78" s="2" t="s">
        <v>586</v>
      </c>
      <c r="B78" s="2" t="s">
        <v>586</v>
      </c>
    </row>
    <row r="79" spans="1:2" x14ac:dyDescent="0.25">
      <c r="A79" s="2" t="s">
        <v>591</v>
      </c>
      <c r="B79" s="2" t="s">
        <v>556</v>
      </c>
    </row>
    <row r="80" spans="1:2" x14ac:dyDescent="0.25">
      <c r="A80" s="2" t="s">
        <v>30</v>
      </c>
      <c r="B80" s="2" t="s">
        <v>83</v>
      </c>
    </row>
    <row r="81" spans="1:2" x14ac:dyDescent="0.25">
      <c r="A81" s="2" t="s">
        <v>592</v>
      </c>
      <c r="B81" s="2" t="s">
        <v>76</v>
      </c>
    </row>
    <row r="82" spans="1:2" x14ac:dyDescent="0.25">
      <c r="A82" s="2" t="s">
        <v>593</v>
      </c>
      <c r="B82" s="2" t="s">
        <v>76</v>
      </c>
    </row>
    <row r="83" spans="1:2" x14ac:dyDescent="0.25">
      <c r="A83" s="2" t="s">
        <v>594</v>
      </c>
      <c r="B83" s="2" t="s">
        <v>556</v>
      </c>
    </row>
    <row r="84" spans="1:2" x14ac:dyDescent="0.25">
      <c r="A84" s="3" t="s">
        <v>43</v>
      </c>
      <c r="B84" s="3" t="s">
        <v>83</v>
      </c>
    </row>
    <row r="85" spans="1:2" x14ac:dyDescent="0.25">
      <c r="A85" s="3" t="s">
        <v>52</v>
      </c>
      <c r="B85" s="3" t="s">
        <v>83</v>
      </c>
    </row>
    <row r="86" spans="1:2" x14ac:dyDescent="0.25">
      <c r="A86" s="3" t="s">
        <v>66</v>
      </c>
      <c r="B86" s="3" t="s">
        <v>83</v>
      </c>
    </row>
    <row r="87" spans="1:2" x14ac:dyDescent="0.25">
      <c r="A87" s="3" t="s">
        <v>90</v>
      </c>
      <c r="B87" s="3" t="s">
        <v>83</v>
      </c>
    </row>
    <row r="88" spans="1:2" x14ac:dyDescent="0.25">
      <c r="A88" s="3" t="s">
        <v>95</v>
      </c>
      <c r="B88" s="3" t="s">
        <v>83</v>
      </c>
    </row>
    <row r="89" spans="1:2" x14ac:dyDescent="0.25">
      <c r="A89" s="3" t="s">
        <v>112</v>
      </c>
      <c r="B89" s="3" t="s">
        <v>83</v>
      </c>
    </row>
    <row r="90" spans="1:2" x14ac:dyDescent="0.25">
      <c r="A90" s="3" t="s">
        <v>121</v>
      </c>
      <c r="B90" s="3" t="s">
        <v>83</v>
      </c>
    </row>
    <row r="91" spans="1:2" x14ac:dyDescent="0.25">
      <c r="A91" s="3" t="s">
        <v>143</v>
      </c>
      <c r="B91" s="3" t="s">
        <v>83</v>
      </c>
    </row>
    <row r="92" spans="1:2" x14ac:dyDescent="0.25">
      <c r="A92" s="3" t="s">
        <v>155</v>
      </c>
      <c r="B92" s="3" t="s">
        <v>83</v>
      </c>
    </row>
    <row r="93" spans="1:2" x14ac:dyDescent="0.25">
      <c r="A93" s="3" t="s">
        <v>169</v>
      </c>
      <c r="B93" s="3" t="s">
        <v>83</v>
      </c>
    </row>
    <row r="94" spans="1:2" x14ac:dyDescent="0.25">
      <c r="A94" s="3" t="s">
        <v>177</v>
      </c>
      <c r="B94" s="3" t="s">
        <v>83</v>
      </c>
    </row>
    <row r="95" spans="1:2" x14ac:dyDescent="0.25">
      <c r="A95" s="3" t="s">
        <v>203</v>
      </c>
      <c r="B95" s="3" t="s">
        <v>83</v>
      </c>
    </row>
    <row r="96" spans="1:2" x14ac:dyDescent="0.25">
      <c r="A96" s="3" t="s">
        <v>212</v>
      </c>
      <c r="B96" s="3" t="s">
        <v>83</v>
      </c>
    </row>
    <row r="97" spans="1:2" x14ac:dyDescent="0.25">
      <c r="A97" s="3" t="s">
        <v>230</v>
      </c>
      <c r="B97" s="3" t="s">
        <v>83</v>
      </c>
    </row>
    <row r="98" spans="1:2" x14ac:dyDescent="0.25">
      <c r="A98" s="3" t="s">
        <v>239</v>
      </c>
      <c r="B98" s="3" t="s">
        <v>83</v>
      </c>
    </row>
    <row r="99" spans="1:2" x14ac:dyDescent="0.25">
      <c r="A99" s="3" t="s">
        <v>300</v>
      </c>
      <c r="B99" s="3" t="s">
        <v>83</v>
      </c>
    </row>
    <row r="100" spans="1:2" x14ac:dyDescent="0.25">
      <c r="A100" s="3" t="s">
        <v>304</v>
      </c>
      <c r="B100" s="3" t="s">
        <v>76</v>
      </c>
    </row>
    <row r="101" spans="1:2" x14ac:dyDescent="0.25">
      <c r="A101" s="3" t="s">
        <v>370</v>
      </c>
      <c r="B101" s="3" t="s">
        <v>76</v>
      </c>
    </row>
    <row r="102" spans="1:2" x14ac:dyDescent="0.25">
      <c r="A102" s="3" t="s">
        <v>380</v>
      </c>
      <c r="B102" s="3" t="s">
        <v>76</v>
      </c>
    </row>
    <row r="103" spans="1:2" x14ac:dyDescent="0.25">
      <c r="A103" s="3" t="s">
        <v>382</v>
      </c>
      <c r="B103" s="3" t="s">
        <v>76</v>
      </c>
    </row>
    <row r="104" spans="1:2" x14ac:dyDescent="0.25">
      <c r="A104" s="3" t="s">
        <v>389</v>
      </c>
      <c r="B104" s="3" t="s">
        <v>76</v>
      </c>
    </row>
    <row r="105" spans="1:2" x14ac:dyDescent="0.25">
      <c r="A105" s="3" t="s">
        <v>403</v>
      </c>
      <c r="B105" s="3" t="s">
        <v>83</v>
      </c>
    </row>
    <row r="106" spans="1:2" x14ac:dyDescent="0.25">
      <c r="A106" s="3" t="s">
        <v>448</v>
      </c>
      <c r="B106" s="3" t="s">
        <v>76</v>
      </c>
    </row>
    <row r="107" spans="1:2" x14ac:dyDescent="0.25">
      <c r="A107" s="3" t="s">
        <v>492</v>
      </c>
      <c r="B107" s="3" t="s">
        <v>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EF2F5-49C8-45BE-9008-0EB32803CED6}">
  <dimension ref="A3:E62"/>
  <sheetViews>
    <sheetView topLeftCell="A40" workbookViewId="0">
      <selection activeCell="D14" sqref="D14:D17"/>
    </sheetView>
  </sheetViews>
  <sheetFormatPr defaultRowHeight="15" x14ac:dyDescent="0.25"/>
  <cols>
    <col min="1" max="1" width="18.42578125" bestFit="1" customWidth="1"/>
    <col min="2" max="2" width="19" bestFit="1" customWidth="1"/>
    <col min="3" max="3" width="1.5703125" customWidth="1"/>
    <col min="4" max="4" width="19.140625" bestFit="1" customWidth="1"/>
    <col min="5" max="5" width="19" bestFit="1" customWidth="1"/>
    <col min="6" max="6" width="18.42578125" bestFit="1" customWidth="1"/>
    <col min="7" max="7" width="19" bestFit="1" customWidth="1"/>
  </cols>
  <sheetData>
    <row r="3" spans="1:5" x14ac:dyDescent="0.25">
      <c r="A3" t="s">
        <v>604</v>
      </c>
      <c r="B3" t="s">
        <v>615</v>
      </c>
    </row>
    <row r="4" spans="1:5" x14ac:dyDescent="0.25">
      <c r="A4" s="4">
        <v>91067.13</v>
      </c>
      <c r="B4" s="4">
        <v>636.83307692307699</v>
      </c>
    </row>
    <row r="6" spans="1:5" x14ac:dyDescent="0.25">
      <c r="A6" s="5" t="s">
        <v>605</v>
      </c>
      <c r="B6" t="s">
        <v>606</v>
      </c>
    </row>
    <row r="7" spans="1:5" x14ac:dyDescent="0.25">
      <c r="A7" s="6" t="s">
        <v>18</v>
      </c>
      <c r="B7" s="2">
        <v>143</v>
      </c>
    </row>
    <row r="8" spans="1:5" x14ac:dyDescent="0.25">
      <c r="A8" s="6" t="s">
        <v>598</v>
      </c>
      <c r="B8" s="2">
        <v>143</v>
      </c>
    </row>
    <row r="10" spans="1:5" x14ac:dyDescent="0.25">
      <c r="A10" t="s">
        <v>607</v>
      </c>
      <c r="B10" t="s">
        <v>599</v>
      </c>
    </row>
    <row r="11" spans="1:5" x14ac:dyDescent="0.25">
      <c r="A11" s="4">
        <v>91067.13</v>
      </c>
      <c r="B11" s="4">
        <v>9</v>
      </c>
    </row>
    <row r="12" spans="1:5" x14ac:dyDescent="0.25">
      <c r="A12" s="7" t="s">
        <v>600</v>
      </c>
      <c r="B12" s="4">
        <f>GETPIVOTDATA("[Measures].[Sum of SubTotal]",$A$10)/GETPIVOTDATA("[Measures].[Distinct Count of CreatedBy]",$A$10)</f>
        <v>10118.57</v>
      </c>
      <c r="C12" s="4"/>
    </row>
    <row r="13" spans="1:5" x14ac:dyDescent="0.25">
      <c r="D13" s="5" t="s">
        <v>609</v>
      </c>
      <c r="E13" t="s">
        <v>597</v>
      </c>
    </row>
    <row r="14" spans="1:5" x14ac:dyDescent="0.25">
      <c r="A14" s="5" t="s">
        <v>608</v>
      </c>
      <c r="B14" t="s">
        <v>610</v>
      </c>
      <c r="D14" s="6" t="s">
        <v>397</v>
      </c>
      <c r="E14" s="4">
        <v>642</v>
      </c>
    </row>
    <row r="15" spans="1:5" x14ac:dyDescent="0.25">
      <c r="A15" s="6" t="s">
        <v>19</v>
      </c>
      <c r="B15" s="4">
        <v>13536.95</v>
      </c>
      <c r="D15" s="6" t="s">
        <v>354</v>
      </c>
      <c r="E15" s="4">
        <v>1027</v>
      </c>
    </row>
    <row r="16" spans="1:5" x14ac:dyDescent="0.25">
      <c r="A16" s="6" t="s">
        <v>40</v>
      </c>
      <c r="B16" s="4">
        <v>4198</v>
      </c>
      <c r="D16" s="6" t="s">
        <v>45</v>
      </c>
      <c r="E16" s="4">
        <v>1673</v>
      </c>
    </row>
    <row r="17" spans="1:5" x14ac:dyDescent="0.25">
      <c r="A17" s="6" t="s">
        <v>35</v>
      </c>
      <c r="B17" s="4">
        <v>2975</v>
      </c>
      <c r="D17" s="6" t="s">
        <v>59</v>
      </c>
      <c r="E17" s="4">
        <v>1790.2</v>
      </c>
    </row>
    <row r="18" spans="1:5" x14ac:dyDescent="0.25">
      <c r="A18" s="6" t="s">
        <v>598</v>
      </c>
      <c r="B18" s="4">
        <v>20709.95</v>
      </c>
      <c r="D18" s="6" t="s">
        <v>26</v>
      </c>
      <c r="E18" s="4">
        <v>7475</v>
      </c>
    </row>
    <row r="19" spans="1:5" x14ac:dyDescent="0.25">
      <c r="D19" s="6" t="s">
        <v>35</v>
      </c>
      <c r="E19" s="4">
        <v>7671</v>
      </c>
    </row>
    <row r="20" spans="1:5" x14ac:dyDescent="0.25">
      <c r="A20" s="5" t="s">
        <v>525</v>
      </c>
      <c r="B20" t="s">
        <v>610</v>
      </c>
      <c r="D20" s="6" t="s">
        <v>40</v>
      </c>
      <c r="E20" s="4">
        <v>11274</v>
      </c>
    </row>
    <row r="21" spans="1:5" x14ac:dyDescent="0.25">
      <c r="A21" s="6" t="s">
        <v>83</v>
      </c>
      <c r="B21" s="4">
        <v>25877</v>
      </c>
      <c r="D21" s="6" t="s">
        <v>19</v>
      </c>
      <c r="E21" s="4">
        <v>23637.93</v>
      </c>
    </row>
    <row r="22" spans="1:5" x14ac:dyDescent="0.25">
      <c r="A22" s="6" t="s">
        <v>76</v>
      </c>
      <c r="B22" s="4">
        <v>65190.13</v>
      </c>
      <c r="D22" s="6" t="s">
        <v>118</v>
      </c>
      <c r="E22" s="4">
        <v>35877</v>
      </c>
    </row>
    <row r="23" spans="1:5" x14ac:dyDescent="0.25">
      <c r="A23" s="6" t="s">
        <v>598</v>
      </c>
      <c r="B23" s="4">
        <v>91067.13</v>
      </c>
      <c r="D23" s="6" t="s">
        <v>598</v>
      </c>
      <c r="E23" s="4">
        <v>91067.13</v>
      </c>
    </row>
    <row r="25" spans="1:5" x14ac:dyDescent="0.25">
      <c r="A25" s="5" t="s">
        <v>611</v>
      </c>
      <c r="B25" t="s">
        <v>610</v>
      </c>
      <c r="D25" s="5" t="s">
        <v>612</v>
      </c>
      <c r="E25" t="s">
        <v>610</v>
      </c>
    </row>
    <row r="26" spans="1:5" x14ac:dyDescent="0.25">
      <c r="A26" s="6" t="s">
        <v>123</v>
      </c>
      <c r="B26" s="4">
        <v>32261</v>
      </c>
      <c r="D26" s="6" t="s">
        <v>92</v>
      </c>
      <c r="E26" s="4">
        <v>22667</v>
      </c>
    </row>
    <row r="27" spans="1:5" x14ac:dyDescent="0.25">
      <c r="A27" s="6" t="s">
        <v>17</v>
      </c>
      <c r="B27" s="4">
        <v>29295</v>
      </c>
      <c r="D27" s="6" t="s">
        <v>58</v>
      </c>
      <c r="E27" s="4">
        <v>18026.93</v>
      </c>
    </row>
    <row r="28" spans="1:5" x14ac:dyDescent="0.25">
      <c r="A28" s="6" t="s">
        <v>72</v>
      </c>
      <c r="B28" s="4">
        <v>15809</v>
      </c>
      <c r="D28" s="6" t="s">
        <v>136</v>
      </c>
      <c r="E28" s="4">
        <v>14905</v>
      </c>
    </row>
    <row r="29" spans="1:5" x14ac:dyDescent="0.25">
      <c r="A29" s="6" t="s">
        <v>114</v>
      </c>
      <c r="B29" s="4">
        <v>3663.2</v>
      </c>
      <c r="D29" s="6" t="s">
        <v>16</v>
      </c>
      <c r="E29" s="4">
        <v>14344.2</v>
      </c>
    </row>
    <row r="30" spans="1:5" x14ac:dyDescent="0.25">
      <c r="A30" s="6" t="s">
        <v>39</v>
      </c>
      <c r="B30" s="4">
        <v>3455.96</v>
      </c>
      <c r="D30" s="6" t="s">
        <v>131</v>
      </c>
      <c r="E30" s="4">
        <v>12000</v>
      </c>
    </row>
    <row r="31" spans="1:5" x14ac:dyDescent="0.25">
      <c r="A31" s="6" t="s">
        <v>49</v>
      </c>
      <c r="B31" s="4">
        <v>2055</v>
      </c>
      <c r="D31" s="6" t="s">
        <v>171</v>
      </c>
      <c r="E31" s="4">
        <v>9124</v>
      </c>
    </row>
    <row r="32" spans="1:5" x14ac:dyDescent="0.25">
      <c r="A32" s="6" t="s">
        <v>247</v>
      </c>
      <c r="B32" s="4">
        <v>1658.98</v>
      </c>
      <c r="D32" s="6" t="s">
        <v>598</v>
      </c>
      <c r="E32" s="4">
        <v>91067.13</v>
      </c>
    </row>
    <row r="33" spans="1:5" x14ac:dyDescent="0.25">
      <c r="A33" s="6" t="s">
        <v>450</v>
      </c>
      <c r="B33" s="4">
        <v>1349</v>
      </c>
    </row>
    <row r="34" spans="1:5" x14ac:dyDescent="0.25">
      <c r="A34" s="6" t="s">
        <v>54</v>
      </c>
      <c r="B34" s="4">
        <v>642</v>
      </c>
    </row>
    <row r="35" spans="1:5" x14ac:dyDescent="0.25">
      <c r="A35" s="6" t="s">
        <v>100</v>
      </c>
      <c r="B35" s="4">
        <v>449</v>
      </c>
    </row>
    <row r="36" spans="1:5" x14ac:dyDescent="0.25">
      <c r="A36" s="6" t="s">
        <v>409</v>
      </c>
      <c r="B36" s="4">
        <v>299</v>
      </c>
    </row>
    <row r="37" spans="1:5" x14ac:dyDescent="0.25">
      <c r="A37" s="6" t="s">
        <v>274</v>
      </c>
      <c r="B37" s="4">
        <v>129.99</v>
      </c>
    </row>
    <row r="38" spans="1:5" x14ac:dyDescent="0.25">
      <c r="A38" s="6" t="s">
        <v>598</v>
      </c>
      <c r="B38" s="4">
        <v>91067.13</v>
      </c>
    </row>
    <row r="40" spans="1:5" x14ac:dyDescent="0.25">
      <c r="A40" s="5" t="s">
        <v>613</v>
      </c>
      <c r="B40" t="s">
        <v>610</v>
      </c>
      <c r="D40" s="5" t="s">
        <v>613</v>
      </c>
      <c r="E40" t="s">
        <v>603</v>
      </c>
    </row>
    <row r="41" spans="1:5" x14ac:dyDescent="0.25">
      <c r="A41" s="6" t="s">
        <v>601</v>
      </c>
      <c r="B41" s="4"/>
      <c r="D41" s="6" t="s">
        <v>601</v>
      </c>
      <c r="E41" s="4"/>
    </row>
    <row r="42" spans="1:5" x14ac:dyDescent="0.25">
      <c r="A42" s="8" t="s">
        <v>616</v>
      </c>
      <c r="B42" s="4">
        <v>398</v>
      </c>
      <c r="D42" s="8" t="s">
        <v>616</v>
      </c>
      <c r="E42" s="4">
        <v>1</v>
      </c>
    </row>
    <row r="43" spans="1:5" x14ac:dyDescent="0.25">
      <c r="A43" s="6" t="s">
        <v>602</v>
      </c>
      <c r="B43" s="4"/>
      <c r="D43" s="6" t="s">
        <v>602</v>
      </c>
      <c r="E43" s="4"/>
    </row>
    <row r="44" spans="1:5" x14ac:dyDescent="0.25">
      <c r="A44" s="8" t="s">
        <v>617</v>
      </c>
      <c r="B44" s="4">
        <v>4746</v>
      </c>
      <c r="D44" s="8" t="s">
        <v>617</v>
      </c>
      <c r="E44" s="4">
        <v>8</v>
      </c>
    </row>
    <row r="45" spans="1:5" x14ac:dyDescent="0.25">
      <c r="A45" s="8" t="s">
        <v>618</v>
      </c>
      <c r="B45" s="4">
        <v>3010</v>
      </c>
      <c r="D45" s="8" t="s">
        <v>618</v>
      </c>
      <c r="E45" s="4">
        <v>8</v>
      </c>
    </row>
    <row r="46" spans="1:5" x14ac:dyDescent="0.25">
      <c r="A46" s="8" t="s">
        <v>619</v>
      </c>
      <c r="B46" s="4">
        <v>2446</v>
      </c>
      <c r="D46" s="8" t="s">
        <v>619</v>
      </c>
      <c r="E46" s="4">
        <v>5</v>
      </c>
    </row>
    <row r="47" spans="1:5" x14ac:dyDescent="0.25">
      <c r="A47" s="8" t="s">
        <v>620</v>
      </c>
      <c r="B47" s="4">
        <v>6976</v>
      </c>
      <c r="D47" s="8" t="s">
        <v>620</v>
      </c>
      <c r="E47" s="4">
        <v>11</v>
      </c>
    </row>
    <row r="48" spans="1:5" x14ac:dyDescent="0.25">
      <c r="A48" s="8" t="s">
        <v>621</v>
      </c>
      <c r="B48" s="4">
        <v>1110</v>
      </c>
      <c r="D48" s="8" t="s">
        <v>621</v>
      </c>
      <c r="E48" s="4">
        <v>3</v>
      </c>
    </row>
    <row r="49" spans="1:5" x14ac:dyDescent="0.25">
      <c r="A49" s="8" t="s">
        <v>622</v>
      </c>
      <c r="B49" s="4">
        <v>1769</v>
      </c>
      <c r="D49" s="8" t="s">
        <v>622</v>
      </c>
      <c r="E49" s="4">
        <v>4</v>
      </c>
    </row>
    <row r="50" spans="1:5" x14ac:dyDescent="0.25">
      <c r="A50" s="8" t="s">
        <v>623</v>
      </c>
      <c r="B50" s="4">
        <v>2574</v>
      </c>
      <c r="D50" s="8" t="s">
        <v>623</v>
      </c>
      <c r="E50" s="4">
        <v>4</v>
      </c>
    </row>
    <row r="51" spans="1:5" x14ac:dyDescent="0.25">
      <c r="A51" s="8" t="s">
        <v>624</v>
      </c>
      <c r="B51" s="4">
        <v>2461</v>
      </c>
      <c r="D51" s="8" t="s">
        <v>624</v>
      </c>
      <c r="E51" s="4">
        <v>6</v>
      </c>
    </row>
    <row r="52" spans="1:5" x14ac:dyDescent="0.25">
      <c r="A52" s="8" t="s">
        <v>625</v>
      </c>
      <c r="B52" s="4">
        <v>3544</v>
      </c>
      <c r="D52" s="8" t="s">
        <v>625</v>
      </c>
      <c r="E52" s="4">
        <v>8</v>
      </c>
    </row>
    <row r="53" spans="1:5" x14ac:dyDescent="0.25">
      <c r="A53" s="8" t="s">
        <v>626</v>
      </c>
      <c r="B53" s="4">
        <v>2910</v>
      </c>
      <c r="D53" s="8" t="s">
        <v>626</v>
      </c>
      <c r="E53" s="4">
        <v>7</v>
      </c>
    </row>
    <row r="54" spans="1:5" x14ac:dyDescent="0.25">
      <c r="A54" s="8" t="s">
        <v>627</v>
      </c>
      <c r="B54" s="4">
        <v>8148.93</v>
      </c>
      <c r="D54" s="8" t="s">
        <v>627</v>
      </c>
      <c r="E54" s="4">
        <v>20</v>
      </c>
    </row>
    <row r="55" spans="1:5" x14ac:dyDescent="0.25">
      <c r="A55" s="8" t="s">
        <v>628</v>
      </c>
      <c r="B55" s="4">
        <v>5373.2</v>
      </c>
      <c r="D55" s="8" t="s">
        <v>628</v>
      </c>
      <c r="E55" s="4">
        <v>12</v>
      </c>
    </row>
    <row r="56" spans="1:5" x14ac:dyDescent="0.25">
      <c r="A56" s="8" t="s">
        <v>629</v>
      </c>
      <c r="B56" s="4">
        <v>4217</v>
      </c>
      <c r="D56" s="8" t="s">
        <v>629</v>
      </c>
      <c r="E56" s="4">
        <v>10</v>
      </c>
    </row>
    <row r="57" spans="1:5" x14ac:dyDescent="0.25">
      <c r="A57" s="8" t="s">
        <v>630</v>
      </c>
      <c r="B57" s="4">
        <v>3987</v>
      </c>
      <c r="D57" s="8" t="s">
        <v>630</v>
      </c>
      <c r="E57" s="4">
        <v>9</v>
      </c>
    </row>
    <row r="58" spans="1:5" x14ac:dyDescent="0.25">
      <c r="A58" s="8" t="s">
        <v>631</v>
      </c>
      <c r="B58" s="4">
        <v>12000</v>
      </c>
      <c r="D58" s="8" t="s">
        <v>631</v>
      </c>
      <c r="E58" s="4">
        <v>1</v>
      </c>
    </row>
    <row r="59" spans="1:5" x14ac:dyDescent="0.25">
      <c r="A59" s="8" t="s">
        <v>632</v>
      </c>
      <c r="B59" s="4">
        <v>18647</v>
      </c>
      <c r="D59" s="8" t="s">
        <v>632</v>
      </c>
      <c r="E59" s="4">
        <v>10</v>
      </c>
    </row>
    <row r="60" spans="1:5" x14ac:dyDescent="0.25">
      <c r="A60" s="8" t="s">
        <v>633</v>
      </c>
      <c r="B60" s="4">
        <v>3363</v>
      </c>
      <c r="D60" s="8" t="s">
        <v>633</v>
      </c>
      <c r="E60" s="4">
        <v>8</v>
      </c>
    </row>
    <row r="61" spans="1:5" x14ac:dyDescent="0.25">
      <c r="A61" s="8" t="s">
        <v>634</v>
      </c>
      <c r="B61" s="4">
        <v>3387</v>
      </c>
      <c r="D61" s="8" t="s">
        <v>634</v>
      </c>
      <c r="E61" s="4">
        <v>8</v>
      </c>
    </row>
    <row r="62" spans="1:5" x14ac:dyDescent="0.25">
      <c r="A62" s="6" t="s">
        <v>598</v>
      </c>
      <c r="B62" s="4">
        <v>91067.13</v>
      </c>
      <c r="D62" s="6" t="s">
        <v>598</v>
      </c>
      <c r="E62" s="4">
        <v>143</v>
      </c>
    </row>
  </sheetData>
  <conditionalFormatting sqref="A20:B20 A21:A22">
    <cfRule type="expression" dxfId="5" priority="3">
      <formula>$B$21&gt;=0.8*AVERAGE($B$21:$B$22)</formula>
    </cfRule>
  </conditionalFormatting>
  <conditionalFormatting pivot="1" sqref="B21:B22">
    <cfRule type="expression" dxfId="4" priority="2">
      <formula>B21&gt;=0.8*AVERAGE(B21:B22)</formula>
    </cfRule>
  </conditionalFormatting>
  <conditionalFormatting pivot="1" sqref="E14:E22">
    <cfRule type="expression" dxfId="3" priority="1">
      <formula>$E14&lt;0.05*SUM($E$14:$E$22)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58B2B-E2DE-4F55-982F-4C9FCEC1A847}">
  <dimension ref="L5"/>
  <sheetViews>
    <sheetView showGridLines="0" tabSelected="1" zoomScale="60" zoomScaleNormal="60" workbookViewId="0">
      <selection activeCell="AA7" sqref="AA7"/>
    </sheetView>
  </sheetViews>
  <sheetFormatPr defaultRowHeight="15" x14ac:dyDescent="0.25"/>
  <cols>
    <col min="1" max="1" width="5.7109375" style="9" customWidth="1"/>
    <col min="2" max="16384" width="9.140625" style="9"/>
  </cols>
  <sheetData>
    <row r="5" spans="12:12" x14ac:dyDescent="0.25">
      <c r="L5" s="10" t="s">
        <v>614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9D6F48-6CBE-4DA3-AA25-794AE52E46E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Tracking - Test file (1)</vt:lpstr>
      <vt:lpstr>List of Regions</vt:lpstr>
      <vt:lpstr>Pivot table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Learning Impact NG</dc:creator>
  <cp:lastModifiedBy>Learning Impact NG</cp:lastModifiedBy>
  <dcterms:created xsi:type="dcterms:W3CDTF">2025-09-12T12:10:40Z</dcterms:created>
  <dcterms:modified xsi:type="dcterms:W3CDTF">2025-09-12T14:05:18Z</dcterms:modified>
</cp:coreProperties>
</file>